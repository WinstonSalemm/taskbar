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К" sheetId="1" r:id="rId5"/>
    <sheet state="visible" name="прогн. Артём" sheetId="2" r:id="rId6"/>
    <sheet state="visible" name="прогн. Алина" sheetId="3" r:id="rId7"/>
    <sheet state="visible" name="доп., заявки на расход" sheetId="4" r:id="rId8"/>
    <sheet state="visible" name="Выписки" sheetId="5" r:id="rId9"/>
  </sheets>
  <definedNames/>
  <calcPr/>
</workbook>
</file>

<file path=xl/sharedStrings.xml><?xml version="1.0" encoding="utf-8"?>
<sst xmlns="http://schemas.openxmlformats.org/spreadsheetml/2006/main" count="197" uniqueCount="122">
  <si>
    <t>СН</t>
  </si>
  <si>
    <t xml:space="preserve">РАСХОД </t>
  </si>
  <si>
    <t>ПОСТУПЛЕНИЯ</t>
  </si>
  <si>
    <t>СК</t>
  </si>
  <si>
    <t>РАСХОДНАЯ часть</t>
  </si>
  <si>
    <t>Зарплата</t>
  </si>
  <si>
    <t xml:space="preserve">Аванс </t>
  </si>
  <si>
    <t>налоги:</t>
  </si>
  <si>
    <t>НДФЛ</t>
  </si>
  <si>
    <t>НДФЛ у источника выплат</t>
  </si>
  <si>
    <t>ИНПС</t>
  </si>
  <si>
    <t>Соц., платеж</t>
  </si>
  <si>
    <t>.</t>
  </si>
  <si>
    <t>НДС</t>
  </si>
  <si>
    <t>НДС (импорт услуг)</t>
  </si>
  <si>
    <t>Прибыль</t>
  </si>
  <si>
    <t>Доход нерезидента</t>
  </si>
  <si>
    <t>Административные:</t>
  </si>
  <si>
    <t>Аренда офиса</t>
  </si>
  <si>
    <t>Возмещение расходов (аренда)</t>
  </si>
  <si>
    <t>Бухгалтерское соправождение</t>
  </si>
  <si>
    <t>Связь</t>
  </si>
  <si>
    <t>Интернет</t>
  </si>
  <si>
    <t>резерв (БИРЖА)</t>
  </si>
  <si>
    <t>доп., заявки на расход</t>
  </si>
  <si>
    <t>Товары для отгрузки по договорам</t>
  </si>
  <si>
    <t>Расход АДМИН</t>
  </si>
  <si>
    <t>Прогноз расходов Артём</t>
  </si>
  <si>
    <t>Прогноз расходов Алина</t>
  </si>
  <si>
    <t>РАСХОД всего:</t>
  </si>
  <si>
    <t>Прогноз продаж Артём</t>
  </si>
  <si>
    <t>Прогноз продаж Алина</t>
  </si>
  <si>
    <t>Прочие поступления не являющиеся доходами</t>
  </si>
  <si>
    <t>ПОСТУПЛЕНИЯ всего:</t>
  </si>
  <si>
    <t>СВОД показателей:</t>
  </si>
  <si>
    <t>Всего РАСХОД:</t>
  </si>
  <si>
    <t>из них</t>
  </si>
  <si>
    <t>Административный</t>
  </si>
  <si>
    <t>из них в валюте в т.ч.</t>
  </si>
  <si>
    <t>Операционный</t>
  </si>
  <si>
    <t>Договора на обслуживание (постоянные)</t>
  </si>
  <si>
    <t>Контракты проектные</t>
  </si>
  <si>
    <t>Прочие разовые договора</t>
  </si>
  <si>
    <t>Всего ДОХОД:</t>
  </si>
  <si>
    <t>OOO RAHAT NETWORKS</t>
  </si>
  <si>
    <t>ПРОДАЖИ прогноз на</t>
  </si>
  <si>
    <t>Май 2026 года</t>
  </si>
  <si>
    <t>№</t>
  </si>
  <si>
    <t>Компания покупатель</t>
  </si>
  <si>
    <t>ИНН</t>
  </si>
  <si>
    <t>Контракт</t>
  </si>
  <si>
    <t>предоплата/оплата</t>
  </si>
  <si>
    <t>Сумма</t>
  </si>
  <si>
    <t>Эквив-т в валюте</t>
  </si>
  <si>
    <t>Дата поступления</t>
  </si>
  <si>
    <t>Uztelecom</t>
  </si>
  <si>
    <t>203 366 731</t>
  </si>
  <si>
    <t>WNAM-2026-S</t>
  </si>
  <si>
    <t>ИТОГО:</t>
  </si>
  <si>
    <t>ИТОГО поступлений:</t>
  </si>
  <si>
    <t>Возврат средств от БИРЖИ</t>
  </si>
  <si>
    <t>был внесен депозип</t>
  </si>
  <si>
    <t>Заполняются данные о приобретаемом оборудовании, лицензиях и прочих составляющих для исполнения контракта по продаже</t>
  </si>
  <si>
    <t>Обязательства по сделке</t>
  </si>
  <si>
    <t>Компания поставщик</t>
  </si>
  <si>
    <t>Суть (контр с покуп)</t>
  </si>
  <si>
    <t>Дата списания</t>
  </si>
  <si>
    <t>ИТОГО расходов:</t>
  </si>
  <si>
    <t>АО "CLICK"</t>
  </si>
  <si>
    <t xml:space="preserve">302 134 733  </t>
  </si>
  <si>
    <t>CLICK-LAN-2026-5 от 14.04.2026г.</t>
  </si>
  <si>
    <t>IMKON SUG'URTA</t>
  </si>
  <si>
    <t>ANOR BANK</t>
  </si>
  <si>
    <t>Центр цифровизации и монитоинга водного хозяйства</t>
  </si>
  <si>
    <t>202 355 801</t>
  </si>
  <si>
    <t xml:space="preserve">№4421841 от 30.04.2026 </t>
  </si>
  <si>
    <t xml:space="preserve">MIGHTYFALCON FZCO </t>
  </si>
  <si>
    <t>№ 0020250929 от 29.09.2025</t>
  </si>
  <si>
    <t>Поставка лицензии для FortiGate-120G (Водное хозяйство)</t>
  </si>
  <si>
    <t>Поставка FortiGate-120G( Водное хозяйство)</t>
  </si>
  <si>
    <t>ООО "AXOFT"</t>
  </si>
  <si>
    <t>AF26-002 от 13.01.2026</t>
  </si>
  <si>
    <t>Поставка лицензий ESET (Imkon Sug'urta)</t>
  </si>
  <si>
    <t>Поставка лицензии для FortiGate-120G (CLICK)</t>
  </si>
  <si>
    <t>Поставка FortiGate-120G (CLICK)</t>
  </si>
  <si>
    <t>IITD</t>
  </si>
  <si>
    <t>Поставка CDK (ANOR BANK)</t>
  </si>
  <si>
    <t>План РАСХОДОВ на</t>
  </si>
  <si>
    <t>Предмет</t>
  </si>
  <si>
    <t>Контрагент</t>
  </si>
  <si>
    <t>Основание</t>
  </si>
  <si>
    <t>Дата</t>
  </si>
  <si>
    <t>№
 пп</t>
  </si>
  <si>
    <t>Дата
 документа</t>
  </si>
  <si>
    <t>№ док</t>
  </si>
  <si>
    <t>Наименование счёта</t>
  </si>
  <si>
    <t>№ счёта</t>
  </si>
  <si>
    <t>МФО</t>
  </si>
  <si>
    <t>Обороты по
 кредиту</t>
  </si>
  <si>
    <t>Назначение платежа</t>
  </si>
  <si>
    <t>"CLICK" AJ</t>
  </si>
  <si>
    <t>29896000804942713020</t>
  </si>
  <si>
    <t>3 312,40</t>
  </si>
  <si>
    <t>П/О, ОПЛАТА ЗА ТОВАРЫ, УСЛУГИ ЗА 27.04.2026 ПО СЕРВИСУ №96558 ОПЛАТА ЗА УСЛУГИ ITD.UZ CОГ-НО ДОГ.№B/D 27290\TASH ОТ 2026-02-06 ЧЕРЕЗ CLICK. СУММА ПРОДАЖ 3380.00 СУМ. УДЕРЖАНО ОТ СУММЫ ПЛАТЕЖА: -КОМИССИЯ С ПЛАТЕЖА 67.60 СУМ; . (№2076538, ОБЩ. СУММА 3312.4 UZS, ОТ 28.04.2026Г.)</t>
  </si>
  <si>
    <t>П/О, ОПЛАТА ЗА ТОВАРЫ, УСЛУГИ ЗА 28.04.2026 ПО СЕРВИСУ №96558 ОПЛАТА ЗА УСЛУГИ ITD.UZ CОГ-НО ДОГ.№B/D 27290\TASH ОТ 2026-02-06 ЧЕРЕЗ CLICK. СУММА ПРОДАЖ 1000.00 СУМ. УДЕРЖАНО ОТ СУММЫ ПЛАТЕЖА: -КОМИССИЯ С ПЛАТЕЖА 20.00 СУМ; . (№2091232, ОБЩ. СУММА 980 UZS, ОТ 29.04.2026Г.)</t>
  </si>
  <si>
    <t>Начисленные %% ООО "RAHAT NETWORKS"</t>
  </si>
  <si>
    <t>16401000805393478001</t>
  </si>
  <si>
    <t>За документ №62 S=3 312 805 584,00 Тариф-ТАРИФ "CORPORATE"-1 000,00 UZS.в том числе НДС</t>
  </si>
  <si>
    <t>Иктисодиёт ва молия вазирлиги Ягона газна хисобвараги</t>
  </si>
  <si>
    <t>23402000300100001010</t>
  </si>
  <si>
    <t>3 715 410 000,00</t>
  </si>
  <si>
    <t>700110860262877950600262008~200933985~За Оборудование компьютерное, электронное и оптическое, договор №4259274 от 19.03.2026 от ИНН: 305907639("KIBERXAVFSIZLIK MARKAZI" DUK) xarid.uzex.uz (Электронный магазин)</t>
  </si>
  <si>
    <t>"AXOFT" MCHJ</t>
  </si>
  <si>
    <t>20208000500924989001</t>
  </si>
  <si>
    <t>00668 Оплата передачи неисключительного права использования согласно договору № AF26-002 от 13.01.2026.</t>
  </si>
  <si>
    <t>За документ №63 S=3 360 000,00 Тариф-ТАРИФ "CORPORATE"-1 000,00 UZS.в том числе НДС</t>
  </si>
  <si>
    <t>OOO "PROSTEP"</t>
  </si>
  <si>
    <t>20208000605388834001</t>
  </si>
  <si>
    <t>00668 Бухгалтерские услуги за апрель месяц 2026г.</t>
  </si>
  <si>
    <t>Итого за весь период</t>
  </si>
  <si>
    <t>3 715 414 292,40</t>
  </si>
  <si>
    <t>Входящее сальдо: 89,812,112.70. Исходящее сальдо: 489,058,821.10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</si>
</sst>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_ ;[Red]\-#,##0.00\ "/>
    <numFmt numFmtId="165" formatCode="dd.MM.yyyy"/>
    <numFmt numFmtId="166" formatCode="dd.mm.yyyy"/>
  </numFmts>
  <fonts count="46">
    <font>
      <sz val="10.0"/>
      <color rgb="FF000000"/>
      <name val="Arial"/>
      <scheme val="minor"/>
    </font>
    <font>
      <b/>
      <i/>
      <color rgb="FF741B47"/>
      <name val="Palatino Linotype"/>
    </font>
    <font>
      <b/>
      <i/>
      <sz val="11.0"/>
      <color rgb="FF741B47"/>
      <name val="Palatino Linotype"/>
    </font>
    <font>
      <color rgb="FF1155CC"/>
      <name val="Palatino Linotype"/>
    </font>
    <font>
      <sz val="11.0"/>
      <color rgb="FF1155CC"/>
      <name val="Palatino Linotype"/>
    </font>
    <font>
      <color rgb="FF03BD0C"/>
      <name val="Palatino Linotype"/>
    </font>
    <font>
      <sz val="11.0"/>
      <color rgb="FF03BD0C"/>
      <name val="Palatino Linotype"/>
    </font>
    <font>
      <b/>
      <color theme="1"/>
      <name val="Palatino Linotype"/>
    </font>
    <font>
      <b/>
      <sz val="11.0"/>
      <color theme="1"/>
      <name val="Palatino Linotype"/>
    </font>
    <font>
      <color theme="1"/>
      <name val="Palatino Linotype"/>
    </font>
    <font>
      <sz val="11.0"/>
      <color theme="1"/>
      <name val="Palatino Linotype"/>
    </font>
    <font>
      <b/>
      <sz val="11.0"/>
      <color rgb="FF1155CC"/>
      <name val="Palatino Linotype"/>
    </font>
    <font>
      <b/>
      <i/>
      <u/>
      <sz val="14.0"/>
      <color rgb="FF1155CC"/>
      <name val="Palatino Linotype"/>
    </font>
    <font>
      <i/>
      <sz val="11.0"/>
      <color theme="1"/>
      <name val="Palatino Linotype"/>
    </font>
    <font>
      <b/>
      <sz val="11.0"/>
      <color rgb="FF1F1F1F"/>
      <name val="&quot;Google Sans&quot;"/>
    </font>
    <font>
      <b/>
      <sz val="16.0"/>
      <color theme="0"/>
      <name val="Palatino Linotype"/>
    </font>
    <font>
      <b/>
      <i/>
      <u/>
      <sz val="16.0"/>
      <color rgb="FF03BD0C"/>
      <name val="Palatino Linotype"/>
    </font>
    <font>
      <b/>
      <sz val="16.0"/>
      <color rgb="FFFFFFFF"/>
      <name val="Palatino Linotype"/>
    </font>
    <font>
      <b/>
      <color rgb="FF1155CC"/>
      <name val="Palatino Linotype"/>
    </font>
    <font>
      <i/>
      <color rgb="FF1155CC"/>
      <name val="Palatino Linotype"/>
    </font>
    <font>
      <b/>
      <i/>
      <sz val="11.0"/>
      <color rgb="FF1155CC"/>
      <name val="Palatino Linotype"/>
    </font>
    <font>
      <b/>
      <color rgb="FF03BD0C"/>
      <name val="Palatino Linotype"/>
    </font>
    <font>
      <b/>
      <sz val="11.0"/>
      <color rgb="FF03BD0C"/>
      <name val="Palatino Linotype"/>
    </font>
    <font>
      <i/>
      <color rgb="FF03BD0C"/>
      <name val="Palatino Linotype"/>
    </font>
    <font>
      <sz val="11.0"/>
      <color rgb="FF000000"/>
      <name val="&quot;Palatino Linotype&quot;"/>
    </font>
    <font>
      <b/>
      <i/>
      <u/>
      <sz val="11.0"/>
      <color rgb="FFCC0099"/>
      <name val="&quot;Palatino Linotype&quot;"/>
    </font>
    <font>
      <b/>
      <i/>
      <u/>
      <sz val="11.0"/>
      <color rgb="FF000000"/>
      <name val="&quot;Palatino Linotype&quot;"/>
    </font>
    <font>
      <i/>
      <color rgb="FFCC0099"/>
      <name val="Palatino Linotype"/>
    </font>
    <font>
      <b/>
      <sz val="11.0"/>
      <color rgb="FF990000"/>
      <name val="&quot;Palatino Linotype&quot;"/>
    </font>
    <font/>
    <font>
      <b/>
      <color rgb="FF990000"/>
      <name val="Palatino Linotype"/>
    </font>
    <font>
      <b/>
      <sz val="11.0"/>
      <color rgb="FF000000"/>
      <name val="&quot;Palatino Linotype&quot;"/>
    </font>
    <font>
      <b/>
      <i/>
      <sz val="11.0"/>
      <color rgb="FF000000"/>
      <name val="&quot;Palatino Linotype&quot;"/>
    </font>
    <font>
      <color theme="1"/>
      <name val="Arial"/>
      <scheme val="minor"/>
    </font>
    <font>
      <i/>
      <sz val="11.0"/>
      <color rgb="FFFF0000"/>
      <name val="Calibri"/>
    </font>
    <font>
      <b/>
      <i/>
      <sz val="11.0"/>
      <color rgb="FF0000FF"/>
      <name val="&quot;Palatino Linotype&quot;"/>
    </font>
    <font>
      <i/>
      <sz val="11.0"/>
      <color rgb="FF000000"/>
      <name val="&quot;Palatino Linotype&quot;"/>
    </font>
    <font>
      <i/>
      <color rgb="FF0000FF"/>
      <name val="Palatino Linotype"/>
    </font>
    <font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b/>
      <sz val="11.0"/>
      <color rgb="FF1F4E78"/>
      <name val="Calibri"/>
    </font>
    <font>
      <b/>
      <i/>
      <u/>
      <sz val="11.0"/>
      <color rgb="FF000000"/>
      <name val="Calibri"/>
    </font>
    <font>
      <color theme="1"/>
      <name val="Calibri"/>
    </font>
    <font>
      <sz val="14.0"/>
      <color theme="1"/>
      <name val="Calibri"/>
    </font>
    <font>
      <sz val="14.0"/>
      <color theme="1"/>
      <name val="Arial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DE3EA"/>
        <bgColor rgb="FFDDE3EA"/>
      </patternFill>
    </fill>
    <fill>
      <patternFill patternType="solid">
        <fgColor rgb="FFA4C2F4"/>
        <bgColor rgb="FFA4C2F4"/>
      </patternFill>
    </fill>
    <fill>
      <patternFill patternType="solid">
        <fgColor rgb="FF1155CC"/>
        <bgColor rgb="FF1155CC"/>
      </patternFill>
    </fill>
    <fill>
      <patternFill patternType="solid">
        <fgColor rgb="FFFFEBEB"/>
        <bgColor rgb="FFFFEBEB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  <fill>
      <patternFill patternType="solid">
        <fgColor rgb="FFBDD7EE"/>
        <bgColor rgb="FFBDD7EE"/>
      </patternFill>
    </fill>
    <fill>
      <patternFill patternType="solid">
        <fgColor rgb="FFBFE1FF"/>
        <bgColor rgb="FFBFE1FF"/>
      </patternFill>
    </fill>
  </fills>
  <borders count="20">
    <border/>
    <border>
      <left/>
      <right/>
      <top/>
      <bottom/>
    </border>
    <border>
      <left style="thin">
        <color rgb="FFCC0099"/>
      </left>
      <right style="thin">
        <color rgb="FFCC0099"/>
      </right>
      <top style="thin">
        <color rgb="FFCC0099"/>
      </top>
      <bottom style="thin">
        <color rgb="FFCC0099"/>
      </bottom>
    </border>
    <border>
      <left style="thin">
        <color rgb="FFCC0099"/>
      </left>
      <top style="thin">
        <color rgb="FFCC0099"/>
      </top>
      <bottom style="thin">
        <color rgb="FFCC0099"/>
      </bottom>
    </border>
    <border>
      <top style="thin">
        <color rgb="FFCC0099"/>
      </top>
      <bottom style="thin">
        <color rgb="FFCC0099"/>
      </bottom>
    </border>
    <border>
      <right style="thin">
        <color rgb="FFCC0099"/>
      </right>
      <top style="thin">
        <color rgb="FFCC0099"/>
      </top>
      <bottom style="thin">
        <color rgb="FFCC00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n">
        <color rgb="FF0000FF"/>
      </left>
      <top style="thin">
        <color rgb="FF0000FF"/>
      </top>
      <bottom style="thin">
        <color rgb="FF0000FF"/>
      </bottom>
    </border>
    <border>
      <right style="thin">
        <color rgb="FF0000FF"/>
      </right>
      <top style="thin">
        <color rgb="FF0000FF"/>
      </top>
      <bottom style="thin">
        <color rgb="FF0000FF"/>
      </bottom>
    </border>
    <border>
      <bottom style="thin">
        <color rgb="FF0000FF"/>
      </bottom>
    </border>
    <border>
      <top style="thin">
        <color rgb="FF0000FF"/>
      </top>
      <bottom style="thin">
        <color rgb="FF0000FF"/>
      </bottom>
    </border>
    <border>
      <right style="thin">
        <color rgb="FF0000FF"/>
      </right>
      <bottom style="thin">
        <color rgb="FF0000FF"/>
      </bottom>
    </border>
    <border>
      <left style="thin">
        <color rgb="FF0000FF"/>
      </left>
      <right style="thin">
        <color rgb="FF0000FF"/>
      </right>
      <bottom style="thin">
        <color rgb="FF0000FF"/>
      </bottom>
    </border>
    <border>
      <left style="thin">
        <color rgb="FF305496"/>
      </left>
      <right style="thin">
        <color rgb="FF305496"/>
      </right>
      <top style="thin">
        <color rgb="FF305496"/>
      </top>
      <bottom style="thin">
        <color rgb="FF305496"/>
      </bottom>
    </border>
    <border>
      <left style="thin">
        <color rgb="FF305496"/>
      </left>
      <top style="thin">
        <color rgb="FF305496"/>
      </top>
      <bottom style="thin">
        <color rgb="FF305496"/>
      </bottom>
    </border>
    <border>
      <top style="thin">
        <color rgb="FF305496"/>
      </top>
      <bottom style="thin">
        <color rgb="FF30549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164" xfId="0" applyFill="1" applyFont="1" applyNumberFormat="1"/>
    <xf borderId="0" fillId="2" fontId="2" numFmtId="164" xfId="0" applyFont="1" applyNumberFormat="1"/>
    <xf borderId="0" fillId="2" fontId="2" numFmtId="4" xfId="0" applyFont="1" applyNumberFormat="1"/>
    <xf borderId="0" fillId="2" fontId="3" numFmtId="0" xfId="0" applyAlignment="1" applyFont="1">
      <alignment readingOrder="0"/>
    </xf>
    <xf borderId="0" fillId="2" fontId="4" numFmtId="164" xfId="0" applyFont="1" applyNumberFormat="1"/>
    <xf borderId="0" fillId="2" fontId="4" numFmtId="4" xfId="0" applyFont="1" applyNumberFormat="1"/>
    <xf borderId="0" fillId="2" fontId="5" numFmtId="0" xfId="0" applyFont="1"/>
    <xf borderId="0" fillId="2" fontId="6" numFmtId="164" xfId="0" applyFont="1" applyNumberFormat="1"/>
    <xf borderId="0" fillId="2" fontId="7" numFmtId="0" xfId="0" applyAlignment="1" applyFont="1">
      <alignment horizontal="left" vertical="center"/>
    </xf>
    <xf borderId="0" fillId="2" fontId="8" numFmtId="164" xfId="0" applyAlignment="1" applyFont="1" applyNumberFormat="1">
      <alignment horizontal="center" vertical="center"/>
    </xf>
    <xf borderId="0" fillId="4" fontId="8" numFmtId="164" xfId="0" applyAlignment="1" applyFill="1" applyFont="1" applyNumberFormat="1">
      <alignment horizontal="center" vertical="center"/>
    </xf>
    <xf borderId="0" fillId="2" fontId="8" numFmtId="4" xfId="0" applyAlignment="1" applyFont="1" applyNumberFormat="1">
      <alignment horizontal="center" vertical="center"/>
    </xf>
    <xf borderId="0" fillId="0" fontId="9" numFmtId="0" xfId="0" applyFont="1"/>
    <xf borderId="0" fillId="0" fontId="10" numFmtId="164" xfId="0" applyFont="1" applyNumberFormat="1"/>
    <xf borderId="0" fillId="0" fontId="10" numFmtId="4" xfId="0" applyFont="1" applyNumberFormat="1"/>
    <xf borderId="1" fillId="5" fontId="11" numFmtId="165" xfId="0" applyAlignment="1" applyBorder="1" applyFill="1" applyFont="1" applyNumberFormat="1">
      <alignment horizontal="center" vertical="center"/>
    </xf>
    <xf borderId="1" fillId="0" fontId="11" numFmtId="4" xfId="0" applyAlignment="1" applyBorder="1" applyFont="1" applyNumberFormat="1">
      <alignment horizontal="center" vertical="center"/>
    </xf>
    <xf borderId="0" fillId="0" fontId="12" numFmtId="0" xfId="0" applyFont="1"/>
    <xf borderId="0" fillId="6" fontId="10" numFmtId="164" xfId="0" applyFill="1" applyFont="1" applyNumberFormat="1"/>
    <xf borderId="0" fillId="0" fontId="10" numFmtId="164" xfId="0" applyAlignment="1" applyFont="1" applyNumberFormat="1">
      <alignment readingOrder="0"/>
    </xf>
    <xf borderId="0" fillId="0" fontId="13" numFmtId="0" xfId="0" applyFont="1"/>
    <xf borderId="1" fillId="7" fontId="10" numFmtId="164" xfId="0" applyAlignment="1" applyBorder="1" applyFill="1" applyFont="1" applyNumberFormat="1">
      <alignment readingOrder="0"/>
    </xf>
    <xf borderId="1" fillId="7" fontId="10" numFmtId="164" xfId="0" applyBorder="1" applyFont="1" applyNumberFormat="1"/>
    <xf borderId="1" fillId="8" fontId="10" numFmtId="164" xfId="0" applyAlignment="1" applyBorder="1" applyFill="1" applyFont="1" applyNumberFormat="1">
      <alignment readingOrder="0"/>
    </xf>
    <xf borderId="1" fillId="6" fontId="10" numFmtId="164" xfId="0" applyBorder="1" applyFont="1" applyNumberFormat="1"/>
    <xf borderId="0" fillId="9" fontId="9" numFmtId="0" xfId="0" applyAlignment="1" applyFill="1" applyFont="1">
      <alignment readingOrder="0"/>
    </xf>
    <xf borderId="0" fillId="10" fontId="14" numFmtId="0" xfId="0" applyAlignment="1" applyFill="1" applyFont="1">
      <alignment readingOrder="0"/>
    </xf>
    <xf borderId="0" fillId="11" fontId="9" numFmtId="0" xfId="0" applyAlignment="1" applyFill="1" applyFont="1">
      <alignment readingOrder="0"/>
    </xf>
    <xf borderId="0" fillId="11" fontId="10" numFmtId="164" xfId="0" applyFont="1" applyNumberFormat="1"/>
    <xf borderId="0" fillId="0" fontId="13" numFmtId="0" xfId="0" applyAlignment="1" applyFont="1">
      <alignment readingOrder="0"/>
    </xf>
    <xf borderId="1" fillId="12" fontId="15" numFmtId="0" xfId="0" applyBorder="1" applyFill="1" applyFont="1"/>
    <xf borderId="1" fillId="12" fontId="15" numFmtId="164" xfId="0" applyBorder="1" applyFont="1" applyNumberFormat="1"/>
    <xf borderId="1" fillId="6" fontId="10" numFmtId="0" xfId="0" applyBorder="1" applyFont="1"/>
    <xf borderId="0" fillId="0" fontId="16" numFmtId="0" xfId="0" applyFont="1"/>
    <xf borderId="0" fillId="4" fontId="17" numFmtId="0" xfId="0" applyAlignment="1" applyFont="1">
      <alignment readingOrder="0"/>
    </xf>
    <xf borderId="0" fillId="4" fontId="17" numFmtId="164" xfId="0" applyFont="1" applyNumberFormat="1"/>
    <xf borderId="0" fillId="0" fontId="9" numFmtId="0" xfId="0" applyAlignment="1" applyFont="1">
      <alignment readingOrder="0"/>
    </xf>
    <xf borderId="0" fillId="0" fontId="10" numFmtId="9" xfId="0" applyFont="1" applyNumberFormat="1"/>
    <xf borderId="0" fillId="0" fontId="18" numFmtId="0" xfId="0" applyAlignment="1" applyFont="1">
      <alignment readingOrder="0"/>
    </xf>
    <xf borderId="0" fillId="0" fontId="11" numFmtId="164" xfId="0" applyFont="1" applyNumberFormat="1"/>
    <xf borderId="0" fillId="0" fontId="13" numFmtId="9" xfId="0" applyFont="1" applyNumberFormat="1"/>
    <xf borderId="0" fillId="0" fontId="19" numFmtId="0" xfId="0" applyAlignment="1" applyFont="1">
      <alignment readingOrder="0"/>
    </xf>
    <xf borderId="0" fillId="0" fontId="4" numFmtId="164" xfId="0" applyFont="1" applyNumberFormat="1"/>
    <xf borderId="0" fillId="0" fontId="20" numFmtId="164" xfId="0" applyFont="1" applyNumberFormat="1"/>
    <xf borderId="0" fillId="0" fontId="13" numFmtId="164" xfId="0" applyFont="1" applyNumberFormat="1"/>
    <xf borderId="0" fillId="0" fontId="13" numFmtId="4" xfId="0" applyFont="1" applyNumberFormat="1"/>
    <xf borderId="0" fillId="0" fontId="3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22" numFmtId="164" xfId="0" applyFont="1" applyNumberFormat="1"/>
    <xf borderId="0" fillId="0" fontId="23" numFmtId="0" xfId="0" applyAlignment="1" applyFont="1">
      <alignment readingOrder="0"/>
    </xf>
    <xf borderId="0" fillId="0" fontId="6" numFmtId="164" xfId="0" applyFont="1" applyNumberFormat="1"/>
    <xf borderId="0" fillId="0" fontId="5" numFmtId="0" xfId="0" applyAlignment="1" applyFont="1">
      <alignment readingOrder="0"/>
    </xf>
    <xf borderId="0" fillId="0" fontId="13" numFmtId="10" xfId="0" applyFont="1" applyNumberFormat="1"/>
    <xf borderId="0" fillId="0" fontId="24" numFmtId="0" xfId="0" applyAlignment="1" applyFont="1">
      <alignment vertical="bottom"/>
    </xf>
    <xf borderId="0" fillId="0" fontId="24" numFmtId="0" xfId="0" applyAlignment="1" applyFont="1">
      <alignment readingOrder="0" vertical="bottom"/>
    </xf>
    <xf borderId="0" fillId="0" fontId="24" numFmtId="0" xfId="0" applyFont="1"/>
    <xf borderId="0" fillId="0" fontId="25" numFmtId="0" xfId="0" applyAlignment="1" applyFont="1">
      <alignment readingOrder="0"/>
    </xf>
    <xf borderId="0" fillId="13" fontId="26" numFmtId="0" xfId="0" applyAlignment="1" applyFill="1" applyFont="1">
      <alignment readingOrder="0"/>
    </xf>
    <xf borderId="2" fillId="0" fontId="24" numFmtId="0" xfId="0" applyAlignment="1" applyBorder="1" applyFont="1">
      <alignment horizontal="center" readingOrder="0"/>
    </xf>
    <xf borderId="3" fillId="0" fontId="24" numFmtId="0" xfId="0" applyAlignment="1" applyBorder="1" applyFont="1">
      <alignment horizontal="center" readingOrder="0"/>
    </xf>
    <xf borderId="0" fillId="0" fontId="27" numFmtId="0" xfId="0" applyAlignment="1" applyFont="1">
      <alignment readingOrder="0"/>
    </xf>
    <xf borderId="3" fillId="14" fontId="28" numFmtId="0" xfId="0" applyAlignment="1" applyBorder="1" applyFill="1" applyFont="1">
      <alignment horizontal="center" readingOrder="0" vertical="bottom"/>
    </xf>
    <xf borderId="4" fillId="14" fontId="24" numFmtId="0" xfId="0" applyAlignment="1" applyBorder="1" applyFont="1">
      <alignment horizontal="center" readingOrder="0" vertical="bottom"/>
    </xf>
    <xf borderId="4" fillId="0" fontId="29" numFmtId="0" xfId="0" applyBorder="1" applyFont="1"/>
    <xf borderId="3" fillId="14" fontId="28" numFmtId="0" xfId="0" applyAlignment="1" applyBorder="1" applyFont="1">
      <alignment vertical="bottom"/>
    </xf>
    <xf borderId="0" fillId="0" fontId="30" numFmtId="166" xfId="0" applyAlignment="1" applyFont="1" applyNumberFormat="1">
      <alignment readingOrder="0"/>
    </xf>
    <xf borderId="5" fillId="14" fontId="30" numFmtId="166" xfId="0" applyAlignment="1" applyBorder="1" applyFont="1" applyNumberFormat="1">
      <alignment readingOrder="0"/>
    </xf>
    <xf borderId="2" fillId="14" fontId="30" numFmtId="166" xfId="0" applyAlignment="1" applyBorder="1" applyFont="1" applyNumberFormat="1">
      <alignment readingOrder="0"/>
    </xf>
    <xf borderId="2" fillId="0" fontId="24" numFmtId="4" xfId="0" applyAlignment="1" applyBorder="1" applyFont="1" applyNumberFormat="1">
      <alignment vertical="bottom"/>
    </xf>
    <xf borderId="2" fillId="0" fontId="24" numFmtId="4" xfId="0" applyAlignment="1" applyBorder="1" applyFont="1" applyNumberFormat="1">
      <alignment readingOrder="0" vertical="bottom"/>
    </xf>
    <xf borderId="3" fillId="0" fontId="24" numFmtId="4" xfId="0" applyAlignment="1" applyBorder="1" applyFont="1" applyNumberFormat="1">
      <alignment vertical="bottom"/>
    </xf>
    <xf borderId="0" fillId="0" fontId="9" numFmtId="4" xfId="0" applyFont="1" applyNumberFormat="1"/>
    <xf borderId="5" fillId="0" fontId="9" numFmtId="4" xfId="0" applyBorder="1" applyFont="1" applyNumberFormat="1"/>
    <xf borderId="2" fillId="0" fontId="9" numFmtId="4" xfId="0" applyBorder="1" applyFont="1" applyNumberFormat="1"/>
    <xf borderId="2" fillId="0" fontId="9" numFmtId="4" xfId="0" applyAlignment="1" applyBorder="1" applyFont="1" applyNumberFormat="1">
      <alignment readingOrder="0"/>
    </xf>
    <xf borderId="0" fillId="0" fontId="9" numFmtId="4" xfId="0" applyAlignment="1" applyFont="1" applyNumberFormat="1">
      <alignment readingOrder="0"/>
    </xf>
    <xf borderId="3" fillId="0" fontId="31" numFmtId="4" xfId="0" applyAlignment="1" applyBorder="1" applyFont="1" applyNumberFormat="1">
      <alignment horizontal="right" readingOrder="0" vertical="bottom"/>
    </xf>
    <xf borderId="5" fillId="0" fontId="29" numFmtId="0" xfId="0" applyBorder="1" applyFont="1"/>
    <xf borderId="3" fillId="15" fontId="31" numFmtId="4" xfId="0" applyAlignment="1" applyBorder="1" applyFill="1" applyFont="1" applyNumberFormat="1">
      <alignment vertical="bottom"/>
    </xf>
    <xf borderId="3" fillId="16" fontId="24" numFmtId="4" xfId="0" applyAlignment="1" applyBorder="1" applyFill="1" applyFont="1" applyNumberFormat="1">
      <alignment horizontal="center" readingOrder="0" vertical="bottom"/>
    </xf>
    <xf borderId="3" fillId="16" fontId="24" numFmtId="4" xfId="0" applyAlignment="1" applyBorder="1" applyFont="1" applyNumberFormat="1">
      <alignment vertical="bottom"/>
    </xf>
    <xf borderId="5" fillId="16" fontId="9" numFmtId="4" xfId="0" applyBorder="1" applyFont="1" applyNumberFormat="1"/>
    <xf borderId="2" fillId="16" fontId="9" numFmtId="4" xfId="0" applyBorder="1" applyFont="1" applyNumberFormat="1"/>
    <xf borderId="2" fillId="0" fontId="31" numFmtId="4" xfId="0" applyAlignment="1" applyBorder="1" applyFont="1" applyNumberFormat="1">
      <alignment vertical="bottom"/>
    </xf>
    <xf borderId="3" fillId="0" fontId="24" numFmtId="4" xfId="0" applyAlignment="1" applyBorder="1" applyFont="1" applyNumberFormat="1">
      <alignment readingOrder="0" vertical="bottom"/>
    </xf>
    <xf borderId="5" fillId="0" fontId="9" numFmtId="4" xfId="0" applyAlignment="1" applyBorder="1" applyFont="1" applyNumberFormat="1">
      <alignment readingOrder="0"/>
    </xf>
    <xf borderId="3" fillId="17" fontId="24" numFmtId="4" xfId="0" applyAlignment="1" applyBorder="1" applyFill="1" applyFont="1" applyNumberFormat="1">
      <alignment horizontal="center" readingOrder="0" vertical="bottom"/>
    </xf>
    <xf borderId="3" fillId="17" fontId="24" numFmtId="4" xfId="0" applyAlignment="1" applyBorder="1" applyFont="1" applyNumberFormat="1">
      <alignment vertical="bottom"/>
    </xf>
    <xf borderId="5" fillId="17" fontId="9" numFmtId="4" xfId="0" applyBorder="1" applyFont="1" applyNumberFormat="1"/>
    <xf borderId="2" fillId="17" fontId="9" numFmtId="4" xfId="0" applyBorder="1" applyFont="1" applyNumberFormat="1"/>
    <xf borderId="3" fillId="18" fontId="32" numFmtId="4" xfId="0" applyAlignment="1" applyBorder="1" applyFill="1" applyFont="1" applyNumberFormat="1">
      <alignment horizontal="center" readingOrder="0" vertical="bottom"/>
    </xf>
    <xf borderId="3" fillId="18" fontId="32" numFmtId="4" xfId="0" applyAlignment="1" applyBorder="1" applyFont="1" applyNumberFormat="1">
      <alignment horizontal="right" readingOrder="0" vertical="bottom"/>
    </xf>
    <xf borderId="5" fillId="18" fontId="9" numFmtId="4" xfId="0" applyBorder="1" applyFont="1" applyNumberFormat="1"/>
    <xf borderId="2" fillId="18" fontId="9" numFmtId="4" xfId="0" applyBorder="1" applyFont="1" applyNumberFormat="1"/>
    <xf borderId="0" fillId="0" fontId="33" numFmtId="4" xfId="0" applyFont="1" applyNumberFormat="1"/>
    <xf borderId="0" fillId="19" fontId="34" numFmtId="4" xfId="0" applyAlignment="1" applyFill="1" applyFont="1" applyNumberFormat="1">
      <alignment readingOrder="0" shrinkToFit="0" wrapText="0"/>
    </xf>
    <xf borderId="0" fillId="0" fontId="34" numFmtId="4" xfId="0" applyAlignment="1" applyFont="1" applyNumberFormat="1">
      <alignment readingOrder="0" shrinkToFit="0" wrapText="0"/>
    </xf>
    <xf borderId="0" fillId="19" fontId="9" numFmtId="4" xfId="0" applyFont="1" applyNumberFormat="1"/>
    <xf borderId="6" fillId="0" fontId="34" numFmtId="4" xfId="0" applyAlignment="1" applyBorder="1" applyFont="1" applyNumberFormat="1">
      <alignment readingOrder="0" shrinkToFit="0" wrapText="0"/>
    </xf>
    <xf borderId="6" fillId="0" fontId="9" numFmtId="4" xfId="0" applyBorder="1" applyFont="1" applyNumberFormat="1"/>
    <xf borderId="0" fillId="0" fontId="35" numFmtId="4" xfId="0" applyAlignment="1" applyFont="1" applyNumberFormat="1">
      <alignment readingOrder="0"/>
    </xf>
    <xf borderId="0" fillId="0" fontId="36" numFmtId="4" xfId="0" applyFont="1" applyNumberFormat="1"/>
    <xf borderId="0" fillId="0" fontId="24" numFmtId="4" xfId="0" applyFont="1" applyNumberFormat="1"/>
    <xf borderId="0" fillId="0" fontId="24" numFmtId="4" xfId="0" applyAlignment="1" applyFont="1" applyNumberFormat="1">
      <alignment vertical="bottom"/>
    </xf>
    <xf borderId="0" fillId="0" fontId="36" numFmtId="4" xfId="0" applyAlignment="1" applyFont="1" applyNumberFormat="1">
      <alignment vertical="bottom"/>
    </xf>
    <xf borderId="7" fillId="0" fontId="24" numFmtId="4" xfId="0" applyAlignment="1" applyBorder="1" applyFont="1" applyNumberFormat="1">
      <alignment horizontal="center" readingOrder="0"/>
    </xf>
    <xf borderId="8" fillId="0" fontId="24" numFmtId="4" xfId="0" applyAlignment="1" applyBorder="1" applyFont="1" applyNumberFormat="1">
      <alignment horizontal="center" readingOrder="0"/>
    </xf>
    <xf borderId="7" fillId="0" fontId="10" numFmtId="4" xfId="0" applyAlignment="1" applyBorder="1" applyFont="1" applyNumberFormat="1">
      <alignment horizontal="center" readingOrder="0" vertical="bottom"/>
    </xf>
    <xf borderId="7" fillId="0" fontId="10" numFmtId="4" xfId="0" applyAlignment="1" applyBorder="1" applyFont="1" applyNumberFormat="1">
      <alignment horizontal="center" vertical="bottom"/>
    </xf>
    <xf borderId="9" fillId="0" fontId="24" numFmtId="4" xfId="0" applyAlignment="1" applyBorder="1" applyFont="1" applyNumberFormat="1">
      <alignment horizontal="center" readingOrder="0"/>
    </xf>
    <xf borderId="0" fillId="0" fontId="37" numFmtId="4" xfId="0" applyAlignment="1" applyFont="1" applyNumberFormat="1">
      <alignment readingOrder="0"/>
    </xf>
    <xf borderId="10" fillId="0" fontId="37" numFmtId="4" xfId="0" applyAlignment="1" applyBorder="1" applyFont="1" applyNumberFormat="1">
      <alignment readingOrder="0"/>
    </xf>
    <xf borderId="10" fillId="0" fontId="9" numFmtId="4" xfId="0" applyBorder="1" applyFont="1" applyNumberFormat="1"/>
    <xf borderId="7" fillId="20" fontId="24" numFmtId="4" xfId="0" applyAlignment="1" applyBorder="1" applyFill="1" applyFont="1" applyNumberFormat="1">
      <alignment vertical="bottom"/>
    </xf>
    <xf borderId="8" fillId="20" fontId="24" numFmtId="4" xfId="0" applyAlignment="1" applyBorder="1" applyFont="1" applyNumberFormat="1">
      <alignment vertical="bottom"/>
    </xf>
    <xf borderId="11" fillId="0" fontId="29" numFmtId="0" xfId="0" applyBorder="1" applyFont="1"/>
    <xf borderId="9" fillId="0" fontId="29" numFmtId="0" xfId="0" applyBorder="1" applyFont="1"/>
    <xf borderId="12" fillId="20" fontId="9" numFmtId="4" xfId="0" applyBorder="1" applyFont="1" applyNumberFormat="1"/>
    <xf borderId="13" fillId="20" fontId="9" numFmtId="4" xfId="0" applyBorder="1" applyFont="1" applyNumberFormat="1"/>
    <xf borderId="7" fillId="0" fontId="24" numFmtId="4" xfId="0" applyAlignment="1" applyBorder="1" applyFont="1" applyNumberFormat="1">
      <alignment vertical="bottom"/>
    </xf>
    <xf borderId="8" fillId="0" fontId="24" numFmtId="4" xfId="0" applyAlignment="1" applyBorder="1" applyFont="1" applyNumberFormat="1">
      <alignment vertical="bottom"/>
    </xf>
    <xf borderId="7" fillId="0" fontId="38" numFmtId="4" xfId="0" applyAlignment="1" applyBorder="1" applyFont="1" applyNumberFormat="1">
      <alignment vertical="bottom"/>
    </xf>
    <xf borderId="9" fillId="0" fontId="24" numFmtId="4" xfId="0" applyAlignment="1" applyBorder="1" applyFont="1" applyNumberFormat="1">
      <alignment vertical="bottom"/>
    </xf>
    <xf borderId="9" fillId="0" fontId="9" numFmtId="4" xfId="0" applyBorder="1" applyFont="1" applyNumberFormat="1"/>
    <xf borderId="7" fillId="0" fontId="9" numFmtId="4" xfId="0" applyBorder="1" applyFont="1" applyNumberFormat="1"/>
    <xf borderId="8" fillId="0" fontId="31" numFmtId="4" xfId="0" applyAlignment="1" applyBorder="1" applyFont="1" applyNumberFormat="1">
      <alignment horizontal="right" readingOrder="0" vertical="bottom"/>
    </xf>
    <xf borderId="7" fillId="15" fontId="24" numFmtId="4" xfId="0" applyAlignment="1" applyBorder="1" applyFont="1" applyNumberFormat="1">
      <alignment vertical="bottom"/>
    </xf>
    <xf borderId="8" fillId="15" fontId="24" numFmtId="4" xfId="0" applyAlignment="1" applyBorder="1" applyFont="1" applyNumberFormat="1">
      <alignment vertical="bottom"/>
    </xf>
    <xf borderId="8" fillId="21" fontId="24" numFmtId="4" xfId="0" applyAlignment="1" applyBorder="1" applyFill="1" applyFont="1" applyNumberFormat="1">
      <alignment vertical="bottom"/>
    </xf>
    <xf borderId="7" fillId="21" fontId="24" numFmtId="4" xfId="0" applyAlignment="1" applyBorder="1" applyFont="1" applyNumberFormat="1">
      <alignment vertical="bottom"/>
    </xf>
    <xf borderId="9" fillId="21" fontId="9" numFmtId="4" xfId="0" applyBorder="1" applyFont="1" applyNumberFormat="1"/>
    <xf borderId="7" fillId="21" fontId="9" numFmtId="4" xfId="0" applyBorder="1" applyFont="1" applyNumberFormat="1"/>
    <xf borderId="7" fillId="0" fontId="9" numFmtId="4" xfId="0" applyAlignment="1" applyBorder="1" applyFont="1" applyNumberFormat="1">
      <alignment readingOrder="0"/>
    </xf>
    <xf borderId="8" fillId="0" fontId="9" numFmtId="4" xfId="0" applyAlignment="1" applyBorder="1" applyFont="1" applyNumberFormat="1">
      <alignment readingOrder="0"/>
    </xf>
    <xf borderId="7" fillId="22" fontId="24" numFmtId="4" xfId="0" applyAlignment="1" applyBorder="1" applyFill="1" applyFont="1" applyNumberFormat="1">
      <alignment vertical="bottom"/>
    </xf>
    <xf borderId="8" fillId="22" fontId="9" numFmtId="4" xfId="0" applyBorder="1" applyFont="1" applyNumberFormat="1"/>
    <xf borderId="9" fillId="22" fontId="9" numFmtId="4" xfId="0" applyBorder="1" applyFont="1" applyNumberFormat="1"/>
    <xf borderId="11" fillId="22" fontId="9" numFmtId="4" xfId="0" applyBorder="1" applyFont="1" applyNumberFormat="1"/>
    <xf borderId="7" fillId="22" fontId="9" numFmtId="4" xfId="0" applyBorder="1" applyFont="1" applyNumberFormat="1"/>
    <xf borderId="8" fillId="23" fontId="32" numFmtId="4" xfId="0" applyAlignment="1" applyBorder="1" applyFill="1" applyFont="1" applyNumberFormat="1">
      <alignment horizontal="center" readingOrder="0" vertical="bottom"/>
    </xf>
    <xf borderId="7" fillId="23" fontId="39" numFmtId="4" xfId="0" applyBorder="1" applyFont="1" applyNumberFormat="1"/>
    <xf borderId="8" fillId="23" fontId="39" numFmtId="4" xfId="0" applyBorder="1" applyFont="1" applyNumberFormat="1"/>
    <xf borderId="0" fillId="0" fontId="7" numFmtId="4" xfId="0" applyFont="1" applyNumberFormat="1"/>
    <xf borderId="9" fillId="23" fontId="7" numFmtId="4" xfId="0" applyBorder="1" applyFont="1" applyNumberFormat="1"/>
    <xf borderId="7" fillId="23" fontId="7" numFmtId="4" xfId="0" applyBorder="1" applyFont="1" applyNumberFormat="1"/>
    <xf borderId="0" fillId="0" fontId="24" numFmtId="0" xfId="0" applyAlignment="1" applyFont="1">
      <alignment horizontal="center"/>
    </xf>
    <xf borderId="2" fillId="14" fontId="28" numFmtId="0" xfId="0" applyAlignment="1" applyBorder="1" applyFont="1">
      <alignment vertical="bottom"/>
    </xf>
    <xf borderId="0" fillId="0" fontId="28" numFmtId="0" xfId="0" applyAlignment="1" applyFont="1">
      <alignment vertical="bottom"/>
    </xf>
    <xf borderId="2" fillId="15" fontId="31" numFmtId="4" xfId="0" applyAlignment="1" applyBorder="1" applyFont="1" applyNumberFormat="1">
      <alignment vertical="bottom"/>
    </xf>
    <xf borderId="2" fillId="16" fontId="24" numFmtId="4" xfId="0" applyAlignment="1" applyBorder="1" applyFont="1" applyNumberFormat="1">
      <alignment vertical="bottom"/>
    </xf>
    <xf borderId="2" fillId="0" fontId="24" numFmtId="49" xfId="0" applyAlignment="1" applyBorder="1" applyFont="1" applyNumberFormat="1">
      <alignment readingOrder="0" vertical="bottom"/>
    </xf>
    <xf borderId="2" fillId="17" fontId="24" numFmtId="4" xfId="0" applyAlignment="1" applyBorder="1" applyFont="1" applyNumberFormat="1">
      <alignment vertical="bottom"/>
    </xf>
    <xf borderId="2" fillId="18" fontId="32" numFmtId="4" xfId="0" applyAlignment="1" applyBorder="1" applyFont="1" applyNumberFormat="1">
      <alignment horizontal="right" readingOrder="0" vertical="bottom"/>
    </xf>
    <xf borderId="0" fillId="0" fontId="32" numFmtId="4" xfId="0" applyAlignment="1" applyFont="1" applyNumberFormat="1">
      <alignment vertical="bottom"/>
    </xf>
    <xf borderId="7" fillId="15" fontId="31" numFmtId="4" xfId="0" applyAlignment="1" applyBorder="1" applyFont="1" applyNumberFormat="1">
      <alignment vertical="bottom"/>
    </xf>
    <xf borderId="8" fillId="0" fontId="24" numFmtId="4" xfId="0" applyAlignment="1" applyBorder="1" applyFont="1" applyNumberFormat="1">
      <alignment readingOrder="0" vertical="bottom"/>
    </xf>
    <xf borderId="7" fillId="0" fontId="38" numFmtId="49" xfId="0" applyAlignment="1" applyBorder="1" applyFont="1" applyNumberFormat="1">
      <alignment readingOrder="0" vertical="bottom"/>
    </xf>
    <xf borderId="7" fillId="0" fontId="38" numFmtId="4" xfId="0" applyAlignment="1" applyBorder="1" applyFont="1" applyNumberFormat="1">
      <alignment readingOrder="0" vertical="bottom"/>
    </xf>
    <xf borderId="9" fillId="0" fontId="24" numFmtId="4" xfId="0" applyAlignment="1" applyBorder="1" applyFont="1" applyNumberFormat="1">
      <alignment readingOrder="0" vertical="bottom"/>
    </xf>
    <xf borderId="7" fillId="0" fontId="24" numFmtId="4" xfId="0" applyAlignment="1" applyBorder="1" applyFont="1" applyNumberFormat="1">
      <alignment readingOrder="0" vertical="bottom"/>
    </xf>
    <xf borderId="0" fillId="0" fontId="33" numFmtId="0" xfId="0" applyAlignment="1" applyFont="1">
      <alignment readingOrder="0"/>
    </xf>
    <xf borderId="0" fillId="0" fontId="39" numFmtId="4" xfId="0" applyFont="1" applyNumberFormat="1"/>
    <xf borderId="0" fillId="0" fontId="33" numFmtId="4" xfId="0" applyAlignment="1" applyFont="1" applyNumberFormat="1">
      <alignment readingOrder="0"/>
    </xf>
    <xf borderId="0" fillId="0" fontId="40" numFmtId="4" xfId="0" applyAlignment="1" applyFont="1" applyNumberFormat="1">
      <alignment readingOrder="0" shrinkToFit="0" vertical="bottom" wrapText="0"/>
    </xf>
    <xf borderId="0" fillId="0" fontId="40" numFmtId="0" xfId="0" applyAlignment="1" applyFont="1">
      <alignment shrinkToFit="0" vertical="bottom" wrapText="0"/>
    </xf>
    <xf borderId="0" fillId="0" fontId="40" numFmtId="0" xfId="0" applyAlignment="1" applyFont="1">
      <alignment readingOrder="0" shrinkToFit="0" vertical="bottom" wrapText="0"/>
    </xf>
    <xf borderId="0" fillId="0" fontId="41" numFmtId="0" xfId="0" applyAlignment="1" applyFont="1">
      <alignment readingOrder="0" shrinkToFit="0" vertical="bottom" wrapText="0"/>
    </xf>
    <xf borderId="0" fillId="21" fontId="42" numFmtId="0" xfId="0" applyAlignment="1" applyFont="1">
      <alignment horizontal="center" readingOrder="0" shrinkToFit="0" vertical="bottom" wrapText="0"/>
    </xf>
    <xf borderId="14" fillId="20" fontId="40" numFmtId="0" xfId="0" applyAlignment="1" applyBorder="1" applyFont="1">
      <alignment horizontal="center" readingOrder="0" shrinkToFit="0" wrapText="0"/>
    </xf>
    <xf borderId="14" fillId="0" fontId="40" numFmtId="0" xfId="0" applyAlignment="1" applyBorder="1" applyFont="1">
      <alignment shrinkToFit="0" vertical="bottom" wrapText="0"/>
    </xf>
    <xf borderId="15" fillId="21" fontId="40" numFmtId="0" xfId="0" applyAlignment="1" applyBorder="1" applyFont="1">
      <alignment horizontal="center" readingOrder="0" shrinkToFit="0" vertical="bottom" wrapText="0"/>
    </xf>
    <xf borderId="16" fillId="21" fontId="40" numFmtId="0" xfId="0" applyAlignment="1" applyBorder="1" applyFont="1">
      <alignment horizontal="center" readingOrder="0" shrinkToFit="0" vertical="bottom" wrapText="0"/>
    </xf>
    <xf borderId="14" fillId="21" fontId="40" numFmtId="0" xfId="0" applyAlignment="1" applyBorder="1" applyFont="1">
      <alignment horizontal="right" readingOrder="0" shrinkToFit="0" vertical="bottom" wrapText="0"/>
    </xf>
    <xf borderId="6" fillId="24" fontId="43" numFmtId="0" xfId="0" applyAlignment="1" applyBorder="1" applyFill="1" applyFont="1">
      <alignment horizontal="center" readingOrder="0" vertical="top"/>
    </xf>
    <xf borderId="6" fillId="24" fontId="43" numFmtId="0" xfId="0" applyAlignment="1" applyBorder="1" applyFont="1">
      <alignment horizontal="center" readingOrder="0" shrinkToFit="0" vertical="top" wrapText="0"/>
    </xf>
    <xf borderId="6" fillId="24" fontId="43" numFmtId="0" xfId="0" applyAlignment="1" applyBorder="1" applyFont="1">
      <alignment horizontal="center" readingOrder="0" shrinkToFit="0" vertical="top" wrapText="1"/>
    </xf>
    <xf borderId="6" fillId="24" fontId="43" numFmtId="49" xfId="0" applyAlignment="1" applyBorder="1" applyFont="1" applyNumberFormat="1">
      <alignment horizontal="center" readingOrder="0" shrinkToFit="0" vertical="top" wrapText="0"/>
    </xf>
    <xf borderId="0" fillId="0" fontId="33" numFmtId="0" xfId="0" applyAlignment="1" applyFont="1">
      <alignment shrinkToFit="0" wrapText="1"/>
    </xf>
    <xf borderId="6" fillId="0" fontId="43" numFmtId="0" xfId="0" applyAlignment="1" applyBorder="1" applyFont="1">
      <alignment horizontal="right" readingOrder="0" shrinkToFit="0" vertical="top" wrapText="0"/>
    </xf>
    <xf borderId="6" fillId="0" fontId="43" numFmtId="166" xfId="0" applyAlignment="1" applyBorder="1" applyFont="1" applyNumberFormat="1">
      <alignment horizontal="left" readingOrder="0" shrinkToFit="0" vertical="top" wrapText="0"/>
    </xf>
    <xf borderId="6" fillId="0" fontId="43" numFmtId="0" xfId="0" applyAlignment="1" applyBorder="1" applyFont="1">
      <alignment horizontal="left" readingOrder="0" shrinkToFit="0" vertical="top" wrapText="0"/>
    </xf>
    <xf borderId="6" fillId="0" fontId="43" numFmtId="0" xfId="0" applyAlignment="1" applyBorder="1" applyFont="1">
      <alignment horizontal="left" readingOrder="0" shrinkToFit="0" vertical="top" wrapText="1"/>
    </xf>
    <xf borderId="6" fillId="0" fontId="43" numFmtId="49" xfId="0" applyAlignment="1" applyBorder="1" applyFont="1" applyNumberFormat="1">
      <alignment horizontal="left" readingOrder="0" shrinkToFit="0" vertical="top" wrapText="0"/>
    </xf>
    <xf borderId="6" fillId="0" fontId="44" numFmtId="0" xfId="0" applyAlignment="1" applyBorder="1" applyFont="1">
      <alignment horizontal="right" readingOrder="0" shrinkToFit="0" vertical="top" wrapText="0"/>
    </xf>
    <xf borderId="6" fillId="0" fontId="44" numFmtId="0" xfId="0" applyAlignment="1" applyBorder="1" applyFont="1">
      <alignment horizontal="left" shrinkToFit="0" vertical="top" wrapText="0"/>
    </xf>
    <xf borderId="17" fillId="0" fontId="44" numFmtId="0" xfId="0" applyAlignment="1" applyBorder="1" applyFont="1">
      <alignment horizontal="center" readingOrder="0" shrinkToFit="0" vertical="center" wrapText="1"/>
    </xf>
    <xf borderId="18" fillId="0" fontId="29" numFmtId="0" xfId="0" applyBorder="1" applyFont="1"/>
    <xf borderId="19" fillId="0" fontId="29" numFmtId="0" xfId="0" applyBorder="1" applyFont="1"/>
    <xf borderId="17" fillId="0" fontId="44" numFmtId="0" xfId="0" applyAlignment="1" applyBorder="1" applyFont="1">
      <alignment horizontal="center" readingOrder="0" shrinkToFit="0" vertical="center" wrapText="0"/>
    </xf>
    <xf borderId="6" fillId="0" fontId="44" numFmtId="0" xfId="0" applyAlignment="1" applyBorder="1" applyFont="1">
      <alignment horizontal="left" readingOrder="0" vertical="top"/>
    </xf>
    <xf borderId="0" fillId="0" fontId="45" numFmtId="0" xfId="0" applyAlignment="1" applyFont="1">
      <alignment shrinkToFit="0" wrapText="1"/>
    </xf>
    <xf borderId="0" fillId="0" fontId="45" numFmtId="0" xfId="0" applyFont="1"/>
    <xf borderId="0" fillId="0" fontId="33" numFmtId="49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75"/>
  <cols>
    <col customWidth="1" min="1" max="1" width="28.25"/>
    <col customWidth="1" min="2" max="17" width="20.5"/>
    <col customWidth="1" min="18" max="18" width="22.63"/>
    <col customWidth="1" min="19" max="24" width="20.5"/>
    <col customWidth="1" min="25" max="25" width="24.38"/>
    <col customWidth="1" min="26" max="32" width="20.5"/>
    <col customWidth="1" min="33" max="33" width="15.25"/>
  </cols>
  <sheetData>
    <row r="1" ht="23.25" customHeight="1">
      <c r="A1" s="1" t="s">
        <v>0</v>
      </c>
      <c r="B1" s="2">
        <v>5.8856582144E8</v>
      </c>
      <c r="C1" s="3">
        <f t="shared" ref="C1:AF1" si="1">B1-B2+B3</f>
        <v>588565821.4</v>
      </c>
      <c r="D1" s="3">
        <f t="shared" si="1"/>
        <v>588565821.4</v>
      </c>
      <c r="E1" s="3">
        <f t="shared" si="1"/>
        <v>588565821.4</v>
      </c>
      <c r="F1" s="3">
        <f t="shared" si="1"/>
        <v>588565821.4</v>
      </c>
      <c r="G1" s="3">
        <f t="shared" si="1"/>
        <v>584705821.4</v>
      </c>
      <c r="H1" s="3">
        <f t="shared" si="1"/>
        <v>584705821.4</v>
      </c>
      <c r="I1" s="3">
        <f t="shared" si="1"/>
        <v>584705821.4</v>
      </c>
      <c r="J1" s="3">
        <f t="shared" si="1"/>
        <v>519599098.4</v>
      </c>
      <c r="K1" s="3">
        <f t="shared" si="1"/>
        <v>519599098.4</v>
      </c>
      <c r="L1" s="3">
        <f t="shared" si="1"/>
        <v>516444098.4</v>
      </c>
      <c r="M1" s="3">
        <f t="shared" si="1"/>
        <v>516444098.4</v>
      </c>
      <c r="N1" s="3">
        <f t="shared" si="1"/>
        <v>516444098.4</v>
      </c>
      <c r="O1" s="3">
        <f t="shared" si="1"/>
        <v>516444098.4</v>
      </c>
      <c r="P1" s="3">
        <f t="shared" si="1"/>
        <v>516444098.4</v>
      </c>
      <c r="Q1" s="3">
        <f t="shared" si="1"/>
        <v>837068728.7</v>
      </c>
      <c r="R1" s="3">
        <f t="shared" si="1"/>
        <v>837068728.7</v>
      </c>
      <c r="S1" s="3">
        <f t="shared" si="1"/>
        <v>837068728.7</v>
      </c>
      <c r="T1" s="3">
        <f t="shared" si="1"/>
        <v>837068728.7</v>
      </c>
      <c r="U1" s="3">
        <f t="shared" si="1"/>
        <v>837068728.7</v>
      </c>
      <c r="V1" s="3">
        <f t="shared" si="1"/>
        <v>705068728.7</v>
      </c>
      <c r="W1" s="3">
        <f t="shared" si="1"/>
        <v>705068728.7</v>
      </c>
      <c r="X1" s="3">
        <f t="shared" si="1"/>
        <v>705068728.7</v>
      </c>
      <c r="Y1" s="3">
        <f t="shared" si="1"/>
        <v>705068728.7</v>
      </c>
      <c r="Z1" s="3">
        <f t="shared" si="1"/>
        <v>705068728.7</v>
      </c>
      <c r="AA1" s="3">
        <f t="shared" si="1"/>
        <v>705068728.7</v>
      </c>
      <c r="AB1" s="3">
        <f t="shared" si="1"/>
        <v>705068728.7</v>
      </c>
      <c r="AC1" s="3">
        <f t="shared" si="1"/>
        <v>705068728.7</v>
      </c>
      <c r="AD1" s="3">
        <f t="shared" si="1"/>
        <v>705068728.7</v>
      </c>
      <c r="AE1" s="3">
        <f t="shared" si="1"/>
        <v>694576729</v>
      </c>
      <c r="AF1" s="3">
        <f t="shared" si="1"/>
        <v>694576729</v>
      </c>
      <c r="AG1" s="4"/>
    </row>
    <row r="2" ht="23.25" customHeight="1">
      <c r="A2" s="5" t="s">
        <v>1</v>
      </c>
      <c r="B2" s="6">
        <f t="shared" ref="B2:AF2" si="2">B40</f>
        <v>0</v>
      </c>
      <c r="C2" s="6">
        <f t="shared" si="2"/>
        <v>0</v>
      </c>
      <c r="D2" s="6">
        <f t="shared" si="2"/>
        <v>0</v>
      </c>
      <c r="E2" s="6">
        <f t="shared" si="2"/>
        <v>0</v>
      </c>
      <c r="F2" s="6">
        <f t="shared" si="2"/>
        <v>3860000</v>
      </c>
      <c r="G2" s="6">
        <f t="shared" si="2"/>
        <v>0</v>
      </c>
      <c r="H2" s="6">
        <f t="shared" si="2"/>
        <v>0</v>
      </c>
      <c r="I2" s="6">
        <f t="shared" si="2"/>
        <v>65106723</v>
      </c>
      <c r="J2" s="6">
        <f t="shared" si="2"/>
        <v>0</v>
      </c>
      <c r="K2" s="6">
        <f t="shared" si="2"/>
        <v>3155000</v>
      </c>
      <c r="L2" s="6">
        <f t="shared" si="2"/>
        <v>0</v>
      </c>
      <c r="M2" s="6">
        <f t="shared" si="2"/>
        <v>0</v>
      </c>
      <c r="N2" s="6">
        <f t="shared" si="2"/>
        <v>0</v>
      </c>
      <c r="O2" s="6">
        <f t="shared" si="2"/>
        <v>0</v>
      </c>
      <c r="P2" s="6">
        <f t="shared" si="2"/>
        <v>2291181.77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132000000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6">
        <f t="shared" si="2"/>
        <v>0</v>
      </c>
      <c r="Z2" s="6">
        <f t="shared" si="2"/>
        <v>0</v>
      </c>
      <c r="AA2" s="6">
        <f t="shared" si="2"/>
        <v>0</v>
      </c>
      <c r="AB2" s="6">
        <f t="shared" si="2"/>
        <v>0</v>
      </c>
      <c r="AC2" s="6">
        <f t="shared" si="2"/>
        <v>0</v>
      </c>
      <c r="AD2" s="6">
        <f t="shared" si="2"/>
        <v>10491999.68</v>
      </c>
      <c r="AE2" s="6">
        <f t="shared" si="2"/>
        <v>0</v>
      </c>
      <c r="AF2" s="6">
        <f t="shared" si="2"/>
        <v>774956952</v>
      </c>
      <c r="AG2" s="7">
        <f t="shared" ref="AG2:AG3" si="4">SUM(B2:AF2)</f>
        <v>991861856.5</v>
      </c>
    </row>
    <row r="3" ht="23.25" customHeight="1">
      <c r="A3" s="8" t="s">
        <v>2</v>
      </c>
      <c r="B3" s="9">
        <f t="shared" ref="B3:AF3" si="3">B50</f>
        <v>0</v>
      </c>
      <c r="C3" s="9">
        <f t="shared" si="3"/>
        <v>0</v>
      </c>
      <c r="D3" s="9">
        <f t="shared" si="3"/>
        <v>0</v>
      </c>
      <c r="E3" s="9">
        <f t="shared" si="3"/>
        <v>0</v>
      </c>
      <c r="F3" s="9">
        <f t="shared" si="3"/>
        <v>0</v>
      </c>
      <c r="G3" s="9">
        <f t="shared" si="3"/>
        <v>0</v>
      </c>
      <c r="H3" s="9">
        <f t="shared" si="3"/>
        <v>0</v>
      </c>
      <c r="I3" s="9">
        <f t="shared" si="3"/>
        <v>0</v>
      </c>
      <c r="J3" s="9">
        <f t="shared" si="3"/>
        <v>0</v>
      </c>
      <c r="K3" s="9">
        <f t="shared" si="3"/>
        <v>0</v>
      </c>
      <c r="L3" s="9">
        <f t="shared" si="3"/>
        <v>0</v>
      </c>
      <c r="M3" s="9">
        <f t="shared" si="3"/>
        <v>0</v>
      </c>
      <c r="N3" s="9">
        <f t="shared" si="3"/>
        <v>0</v>
      </c>
      <c r="O3" s="9">
        <f t="shared" si="3"/>
        <v>0</v>
      </c>
      <c r="P3" s="9">
        <f t="shared" si="3"/>
        <v>322915812</v>
      </c>
      <c r="Q3" s="9">
        <f t="shared" si="3"/>
        <v>0</v>
      </c>
      <c r="R3" s="9">
        <f t="shared" si="3"/>
        <v>0</v>
      </c>
      <c r="S3" s="9">
        <f t="shared" si="3"/>
        <v>0</v>
      </c>
      <c r="T3" s="9">
        <f t="shared" si="3"/>
        <v>0</v>
      </c>
      <c r="U3" s="9">
        <f t="shared" si="3"/>
        <v>0</v>
      </c>
      <c r="V3" s="9">
        <f t="shared" si="3"/>
        <v>0</v>
      </c>
      <c r="W3" s="9">
        <f t="shared" si="3"/>
        <v>0</v>
      </c>
      <c r="X3" s="9">
        <f t="shared" si="3"/>
        <v>0</v>
      </c>
      <c r="Y3" s="9">
        <f t="shared" si="3"/>
        <v>0</v>
      </c>
      <c r="Z3" s="9">
        <f t="shared" si="3"/>
        <v>0</v>
      </c>
      <c r="AA3" s="9">
        <f t="shared" si="3"/>
        <v>0</v>
      </c>
      <c r="AB3" s="9">
        <f t="shared" si="3"/>
        <v>0</v>
      </c>
      <c r="AC3" s="9">
        <f t="shared" si="3"/>
        <v>0</v>
      </c>
      <c r="AD3" s="9">
        <f t="shared" si="3"/>
        <v>0</v>
      </c>
      <c r="AE3" s="9">
        <f t="shared" si="3"/>
        <v>0</v>
      </c>
      <c r="AF3" s="9">
        <f t="shared" si="3"/>
        <v>1110300000</v>
      </c>
      <c r="AG3" s="7">
        <f t="shared" si="4"/>
        <v>1433215812</v>
      </c>
    </row>
    <row r="4" ht="23.25" customHeight="1">
      <c r="A4" s="10" t="s">
        <v>3</v>
      </c>
      <c r="B4" s="11">
        <f t="shared" ref="B4:AF4" si="5">B1-B2+B3</f>
        <v>588565821.4</v>
      </c>
      <c r="C4" s="11">
        <f t="shared" si="5"/>
        <v>588565821.4</v>
      </c>
      <c r="D4" s="11">
        <f t="shared" si="5"/>
        <v>588565821.4</v>
      </c>
      <c r="E4" s="11">
        <f t="shared" si="5"/>
        <v>588565821.4</v>
      </c>
      <c r="F4" s="11">
        <f t="shared" si="5"/>
        <v>584705821.4</v>
      </c>
      <c r="G4" s="11">
        <f t="shared" si="5"/>
        <v>584705821.4</v>
      </c>
      <c r="H4" s="11">
        <f t="shared" si="5"/>
        <v>584705821.4</v>
      </c>
      <c r="I4" s="11">
        <f t="shared" si="5"/>
        <v>519599098.4</v>
      </c>
      <c r="J4" s="11">
        <f t="shared" si="5"/>
        <v>519599098.4</v>
      </c>
      <c r="K4" s="11">
        <f t="shared" si="5"/>
        <v>516444098.4</v>
      </c>
      <c r="L4" s="11">
        <f t="shared" si="5"/>
        <v>516444098.4</v>
      </c>
      <c r="M4" s="11">
        <f t="shared" si="5"/>
        <v>516444098.4</v>
      </c>
      <c r="N4" s="11">
        <f t="shared" si="5"/>
        <v>516444098.4</v>
      </c>
      <c r="O4" s="11">
        <f t="shared" si="5"/>
        <v>516444098.4</v>
      </c>
      <c r="P4" s="11">
        <f t="shared" si="5"/>
        <v>837068728.7</v>
      </c>
      <c r="Q4" s="11">
        <f t="shared" si="5"/>
        <v>837068728.7</v>
      </c>
      <c r="R4" s="11">
        <f t="shared" si="5"/>
        <v>837068728.7</v>
      </c>
      <c r="S4" s="11">
        <f t="shared" si="5"/>
        <v>837068728.7</v>
      </c>
      <c r="T4" s="11">
        <f t="shared" si="5"/>
        <v>837068728.7</v>
      </c>
      <c r="U4" s="11">
        <f t="shared" si="5"/>
        <v>705068728.7</v>
      </c>
      <c r="V4" s="11">
        <f t="shared" si="5"/>
        <v>705068728.7</v>
      </c>
      <c r="W4" s="11">
        <f t="shared" si="5"/>
        <v>705068728.7</v>
      </c>
      <c r="X4" s="11">
        <f t="shared" si="5"/>
        <v>705068728.7</v>
      </c>
      <c r="Y4" s="11">
        <f t="shared" si="5"/>
        <v>705068728.7</v>
      </c>
      <c r="Z4" s="11">
        <f t="shared" si="5"/>
        <v>705068728.7</v>
      </c>
      <c r="AA4" s="11">
        <f t="shared" si="5"/>
        <v>705068728.7</v>
      </c>
      <c r="AB4" s="11">
        <f t="shared" si="5"/>
        <v>705068728.7</v>
      </c>
      <c r="AC4" s="11">
        <f t="shared" si="5"/>
        <v>705068728.7</v>
      </c>
      <c r="AD4" s="11">
        <f t="shared" si="5"/>
        <v>694576729</v>
      </c>
      <c r="AE4" s="11">
        <f t="shared" si="5"/>
        <v>694576729</v>
      </c>
      <c r="AF4" s="12">
        <f t="shared" si="5"/>
        <v>1029919777</v>
      </c>
      <c r="AG4" s="13">
        <f>AG3-AG2</f>
        <v>441353955.6</v>
      </c>
    </row>
    <row r="5" ht="42.0" customHeight="1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6"/>
    </row>
    <row r="6" ht="21.75" customHeight="1">
      <c r="A6" s="17"/>
      <c r="B6" s="17">
        <v>46143.0</v>
      </c>
      <c r="C6" s="17">
        <v>46144.0</v>
      </c>
      <c r="D6" s="17">
        <v>46145.0</v>
      </c>
      <c r="E6" s="17">
        <v>46146.0</v>
      </c>
      <c r="F6" s="17">
        <v>46147.0</v>
      </c>
      <c r="G6" s="17">
        <v>46148.0</v>
      </c>
      <c r="H6" s="17">
        <v>46149.0</v>
      </c>
      <c r="I6" s="17">
        <v>46150.0</v>
      </c>
      <c r="J6" s="17">
        <v>46151.0</v>
      </c>
      <c r="K6" s="17">
        <v>46152.0</v>
      </c>
      <c r="L6" s="17">
        <v>46153.0</v>
      </c>
      <c r="M6" s="17">
        <v>46154.0</v>
      </c>
      <c r="N6" s="17">
        <v>46155.0</v>
      </c>
      <c r="O6" s="17">
        <v>46156.0</v>
      </c>
      <c r="P6" s="17">
        <v>46157.0</v>
      </c>
      <c r="Q6" s="17">
        <v>46158.0</v>
      </c>
      <c r="R6" s="17">
        <v>46159.0</v>
      </c>
      <c r="S6" s="17">
        <v>46160.0</v>
      </c>
      <c r="T6" s="17">
        <v>46161.0</v>
      </c>
      <c r="U6" s="17">
        <v>46162.0</v>
      </c>
      <c r="V6" s="17">
        <v>46163.0</v>
      </c>
      <c r="W6" s="17">
        <v>46164.0</v>
      </c>
      <c r="X6" s="17">
        <v>46165.0</v>
      </c>
      <c r="Y6" s="17">
        <v>46166.0</v>
      </c>
      <c r="Z6" s="17">
        <v>46167.0</v>
      </c>
      <c r="AA6" s="17">
        <v>46168.0</v>
      </c>
      <c r="AB6" s="17">
        <v>46169.0</v>
      </c>
      <c r="AC6" s="17">
        <v>46170.0</v>
      </c>
      <c r="AD6" s="17">
        <v>46171.0</v>
      </c>
      <c r="AE6" s="17">
        <v>46172.0</v>
      </c>
      <c r="AF6" s="17">
        <v>46173.0</v>
      </c>
      <c r="AG6" s="18"/>
    </row>
    <row r="7" ht="14.25" customHeight="1">
      <c r="A7" s="19" t="s">
        <v>4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6"/>
    </row>
    <row r="8" ht="14.25" customHeight="1">
      <c r="A8" s="14" t="s">
        <v>5</v>
      </c>
      <c r="B8" s="15"/>
      <c r="C8" s="15"/>
      <c r="D8" s="15"/>
      <c r="E8" s="15"/>
      <c r="F8" s="15"/>
      <c r="G8" s="15"/>
      <c r="H8" s="15"/>
      <c r="I8" s="15"/>
      <c r="J8" s="15"/>
      <c r="K8" s="20">
        <v>3155000.0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21"/>
      <c r="AF8" s="15"/>
      <c r="AG8" s="16"/>
    </row>
    <row r="9" ht="20.25" customHeight="1">
      <c r="A9" s="14" t="s">
        <v>6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6"/>
    </row>
    <row r="10" ht="14.25" customHeight="1">
      <c r="A10" s="22" t="s">
        <v>7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6"/>
    </row>
    <row r="11" ht="14.25" customHeight="1">
      <c r="A11" s="14" t="s">
        <v>8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23">
        <v>426642.04</v>
      </c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6"/>
    </row>
    <row r="12" ht="14.25" customHeight="1">
      <c r="A12" s="14" t="s">
        <v>9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23">
        <v>1430727.23</v>
      </c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6"/>
    </row>
    <row r="13" ht="14.25" customHeight="1">
      <c r="A13" s="14" t="s">
        <v>10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23">
        <v>3585.23</v>
      </c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6"/>
    </row>
    <row r="14" ht="14.25" customHeight="1">
      <c r="A14" s="14" t="s">
        <v>11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23">
        <v>430227.27</v>
      </c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6"/>
    </row>
    <row r="15" ht="14.25" customHeight="1">
      <c r="A15" s="14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 t="s">
        <v>12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6"/>
    </row>
    <row r="16" ht="14.25" customHeight="1">
      <c r="A16" s="14" t="s">
        <v>13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23">
        <v>1.256E8</v>
      </c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6"/>
    </row>
    <row r="17" ht="14.25" customHeight="1">
      <c r="A17" s="14" t="s">
        <v>14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23">
        <v>6400000.0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6"/>
    </row>
    <row r="18" ht="14.25" customHeight="1">
      <c r="A18" s="14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6"/>
    </row>
    <row r="19" ht="14.25" customHeight="1">
      <c r="A19" s="14" t="s">
        <v>15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24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6"/>
    </row>
    <row r="20" ht="14.25" customHeight="1">
      <c r="A20" s="14" t="s">
        <v>16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24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6"/>
    </row>
    <row r="21" ht="14.25" customHeight="1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6"/>
    </row>
    <row r="22" ht="14.25" customHeight="1">
      <c r="A22" s="22" t="s">
        <v>17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6"/>
    </row>
    <row r="23" ht="14.25" customHeight="1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6"/>
    </row>
    <row r="24" ht="14.25" customHeight="1">
      <c r="A24" s="14" t="s">
        <v>18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25">
        <v>1.049199968E7</v>
      </c>
      <c r="AE24" s="15"/>
      <c r="AF24" s="15"/>
      <c r="AG24" s="16"/>
    </row>
    <row r="25" ht="14.25" customHeight="1">
      <c r="A25" s="14" t="s">
        <v>19</v>
      </c>
      <c r="B25" s="15"/>
      <c r="C25" s="15"/>
      <c r="D25" s="15"/>
      <c r="E25" s="15"/>
      <c r="F25" s="26">
        <v>500000.0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6"/>
    </row>
    <row r="26" ht="14.25" customHeight="1">
      <c r="A26" s="14" t="s">
        <v>20</v>
      </c>
      <c r="B26" s="15"/>
      <c r="C26" s="15"/>
      <c r="D26" s="15"/>
      <c r="E26" s="15"/>
      <c r="F26" s="26">
        <v>3360000.0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6"/>
    </row>
    <row r="27" ht="14.25" customHeight="1">
      <c r="A27" s="14" t="s">
        <v>21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6"/>
    </row>
    <row r="28" ht="14.25" customHeight="1">
      <c r="A28" s="14" t="s">
        <v>22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6"/>
    </row>
    <row r="29" ht="14.25" customHeight="1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6"/>
    </row>
    <row r="30" ht="14.25" customHeight="1">
      <c r="A30" s="27" t="s">
        <v>23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6"/>
    </row>
    <row r="31" ht="14.25" customHeigh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6"/>
    </row>
    <row r="32" ht="14.25" customHeight="1">
      <c r="A32" s="28" t="s">
        <v>24</v>
      </c>
      <c r="B32" s="15">
        <f>'доп., заявки на расход'!H46</f>
        <v>0</v>
      </c>
      <c r="C32" s="15">
        <f>'доп., заявки на расход'!I46</f>
        <v>0</v>
      </c>
      <c r="D32" s="15">
        <f>'доп., заявки на расход'!J46</f>
        <v>0</v>
      </c>
      <c r="E32" s="15">
        <f>'доп., заявки на расход'!K46</f>
        <v>0</v>
      </c>
      <c r="F32" s="15">
        <f>'доп., заявки на расход'!L46</f>
        <v>0</v>
      </c>
      <c r="G32" s="15">
        <f>'доп., заявки на расход'!M46</f>
        <v>0</v>
      </c>
      <c r="H32" s="15">
        <f>'доп., заявки на расход'!N46</f>
        <v>0</v>
      </c>
      <c r="I32" s="15">
        <f>'доп., заявки на расход'!O46</f>
        <v>0</v>
      </c>
      <c r="J32" s="15">
        <f>'доп., заявки на расход'!P46</f>
        <v>0</v>
      </c>
      <c r="K32" s="15">
        <f>'доп., заявки на расход'!Q46</f>
        <v>0</v>
      </c>
      <c r="L32" s="15">
        <f>'доп., заявки на расход'!R46</f>
        <v>0</v>
      </c>
      <c r="M32" s="15">
        <f>'доп., заявки на расход'!S46</f>
        <v>0</v>
      </c>
      <c r="N32" s="15">
        <f>'доп., заявки на расход'!T46</f>
        <v>0</v>
      </c>
      <c r="O32" s="15">
        <f>'доп., заявки на расход'!U46</f>
        <v>0</v>
      </c>
      <c r="P32" s="15">
        <f>'доп., заявки на расход'!V46</f>
        <v>0</v>
      </c>
      <c r="Q32" s="15">
        <f>'доп., заявки на расход'!W46</f>
        <v>0</v>
      </c>
      <c r="R32" s="15">
        <f>'доп., заявки на расход'!X46</f>
        <v>0</v>
      </c>
      <c r="S32" s="15">
        <f>'доп., заявки на расход'!Y46</f>
        <v>0</v>
      </c>
      <c r="T32" s="15">
        <f>'доп., заявки на расход'!Z46</f>
        <v>0</v>
      </c>
      <c r="U32" s="15">
        <f>'доп., заявки на расход'!AA46</f>
        <v>0</v>
      </c>
      <c r="V32" s="15">
        <f>'доп., заявки на расход'!AB46</f>
        <v>0</v>
      </c>
      <c r="W32" s="15">
        <f>'доп., заявки на расход'!AC46</f>
        <v>0</v>
      </c>
      <c r="X32" s="15">
        <f>'доп., заявки на расход'!AD46</f>
        <v>0</v>
      </c>
      <c r="Y32" s="15">
        <f>'доп., заявки на расход'!AE46</f>
        <v>0</v>
      </c>
      <c r="Z32" s="15">
        <f>'доп., заявки на расход'!AF46</f>
        <v>0</v>
      </c>
      <c r="AA32" s="15">
        <f>'доп., заявки на расход'!AG46</f>
        <v>0</v>
      </c>
      <c r="AB32" s="15">
        <f>'доп., заявки на расход'!AH46</f>
        <v>0</v>
      </c>
      <c r="AC32" s="15">
        <f>'доп., заявки на расход'!AI46</f>
        <v>0</v>
      </c>
      <c r="AD32" s="15">
        <f>'доп., заявки на расход'!AJ46</f>
        <v>0</v>
      </c>
      <c r="AE32" s="15">
        <f>'доп., заявки на расход'!AK46</f>
        <v>0</v>
      </c>
      <c r="AF32" s="15">
        <f>'доп., заявки на расход'!AL46</f>
        <v>0</v>
      </c>
      <c r="AG32" s="16"/>
    </row>
    <row r="33" ht="14.25" customHeight="1">
      <c r="A33" s="22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6"/>
    </row>
    <row r="34" ht="14.25" customHeight="1">
      <c r="A34" s="14" t="s">
        <v>25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6"/>
    </row>
    <row r="35" ht="14.25" customHeight="1">
      <c r="A35" s="29" t="s">
        <v>26</v>
      </c>
      <c r="B35" s="30">
        <f t="shared" ref="B35:AF35" si="6">SUM(B7:B34)</f>
        <v>0</v>
      </c>
      <c r="C35" s="30">
        <f t="shared" si="6"/>
        <v>0</v>
      </c>
      <c r="D35" s="30">
        <f t="shared" si="6"/>
        <v>0</v>
      </c>
      <c r="E35" s="30">
        <f t="shared" si="6"/>
        <v>0</v>
      </c>
      <c r="F35" s="30">
        <f t="shared" si="6"/>
        <v>3860000</v>
      </c>
      <c r="G35" s="30">
        <f t="shared" si="6"/>
        <v>0</v>
      </c>
      <c r="H35" s="30">
        <f t="shared" si="6"/>
        <v>0</v>
      </c>
      <c r="I35" s="30">
        <f t="shared" si="6"/>
        <v>0</v>
      </c>
      <c r="J35" s="30">
        <f t="shared" si="6"/>
        <v>0</v>
      </c>
      <c r="K35" s="30">
        <f t="shared" si="6"/>
        <v>3155000</v>
      </c>
      <c r="L35" s="30">
        <f t="shared" si="6"/>
        <v>0</v>
      </c>
      <c r="M35" s="30">
        <f t="shared" si="6"/>
        <v>0</v>
      </c>
      <c r="N35" s="30">
        <f t="shared" si="6"/>
        <v>0</v>
      </c>
      <c r="O35" s="30">
        <f t="shared" si="6"/>
        <v>0</v>
      </c>
      <c r="P35" s="30">
        <f t="shared" si="6"/>
        <v>2291181.77</v>
      </c>
      <c r="Q35" s="30">
        <f t="shared" si="6"/>
        <v>0</v>
      </c>
      <c r="R35" s="30">
        <f t="shared" si="6"/>
        <v>0</v>
      </c>
      <c r="S35" s="30">
        <f t="shared" si="6"/>
        <v>0</v>
      </c>
      <c r="T35" s="30">
        <f t="shared" si="6"/>
        <v>0</v>
      </c>
      <c r="U35" s="30">
        <f t="shared" si="6"/>
        <v>132000000</v>
      </c>
      <c r="V35" s="30">
        <f t="shared" si="6"/>
        <v>0</v>
      </c>
      <c r="W35" s="30">
        <f t="shared" si="6"/>
        <v>0</v>
      </c>
      <c r="X35" s="30">
        <f t="shared" si="6"/>
        <v>0</v>
      </c>
      <c r="Y35" s="30">
        <f t="shared" si="6"/>
        <v>0</v>
      </c>
      <c r="Z35" s="30">
        <f t="shared" si="6"/>
        <v>0</v>
      </c>
      <c r="AA35" s="30">
        <f t="shared" si="6"/>
        <v>0</v>
      </c>
      <c r="AB35" s="30">
        <f t="shared" si="6"/>
        <v>0</v>
      </c>
      <c r="AC35" s="30">
        <f t="shared" si="6"/>
        <v>0</v>
      </c>
      <c r="AD35" s="30">
        <f t="shared" si="6"/>
        <v>10491999.68</v>
      </c>
      <c r="AE35" s="30">
        <f t="shared" si="6"/>
        <v>0</v>
      </c>
      <c r="AF35" s="30">
        <f t="shared" si="6"/>
        <v>0</v>
      </c>
      <c r="AG35" s="16">
        <f>SUM(B35:AF35)</f>
        <v>151798181.5</v>
      </c>
    </row>
    <row r="36" ht="14.25" customHeight="1">
      <c r="A36" s="1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6"/>
    </row>
    <row r="37" ht="14.25" customHeight="1">
      <c r="A37" s="31" t="s">
        <v>27</v>
      </c>
      <c r="B37" s="15">
        <f>'прогн. Артём'!I78</f>
        <v>0</v>
      </c>
      <c r="C37" s="15">
        <f>'прогн. Артём'!J78</f>
        <v>0</v>
      </c>
      <c r="D37" s="15">
        <f>'прогн. Артём'!K78</f>
        <v>0</v>
      </c>
      <c r="E37" s="15">
        <f>'прогн. Артём'!L78</f>
        <v>0</v>
      </c>
      <c r="F37" s="15">
        <f>'прогн. Артём'!M78</f>
        <v>0</v>
      </c>
      <c r="G37" s="15">
        <f>'прогн. Артём'!N78</f>
        <v>0</v>
      </c>
      <c r="H37" s="15">
        <f>'прогн. Артём'!O78</f>
        <v>0</v>
      </c>
      <c r="I37" s="15">
        <f>'прогн. Артём'!P78</f>
        <v>0</v>
      </c>
      <c r="J37" s="15">
        <f>'прогн. Артём'!Q78</f>
        <v>0</v>
      </c>
      <c r="K37" s="15">
        <f>'прогн. Артём'!R78</f>
        <v>0</v>
      </c>
      <c r="L37" s="15">
        <f>'прогн. Артём'!S78</f>
        <v>0</v>
      </c>
      <c r="M37" s="15">
        <f>'прогн. Артём'!T78</f>
        <v>0</v>
      </c>
      <c r="N37" s="15">
        <f>'прогн. Артём'!U78</f>
        <v>0</v>
      </c>
      <c r="O37" s="15">
        <f>'прогн. Артём'!V78</f>
        <v>0</v>
      </c>
      <c r="P37" s="15">
        <f>'прогн. Артём'!W78</f>
        <v>0</v>
      </c>
      <c r="Q37" s="15">
        <f>'прогн. Артём'!X78</f>
        <v>0</v>
      </c>
      <c r="R37" s="15">
        <f>'прогн. Артём'!Y78</f>
        <v>0</v>
      </c>
      <c r="S37" s="15">
        <f>'прогн. Артём'!Z78</f>
        <v>0</v>
      </c>
      <c r="T37" s="15">
        <f>'прогн. Артём'!AA78</f>
        <v>0</v>
      </c>
      <c r="U37" s="15">
        <f>'прогн. Артём'!AB78</f>
        <v>0</v>
      </c>
      <c r="V37" s="15">
        <f>'прогн. Артём'!AC78</f>
        <v>0</v>
      </c>
      <c r="W37" s="15">
        <f>'прогн. Артём'!AD78</f>
        <v>0</v>
      </c>
      <c r="X37" s="15">
        <f>'прогн. Артём'!AE78</f>
        <v>0</v>
      </c>
      <c r="Y37" s="15">
        <f>'прогн. Артём'!AF78</f>
        <v>0</v>
      </c>
      <c r="Z37" s="15">
        <f>'прогн. Артём'!AG78</f>
        <v>0</v>
      </c>
      <c r="AA37" s="15">
        <f>'прогн. Артём'!AH78</f>
        <v>0</v>
      </c>
      <c r="AB37" s="15">
        <f>'прогн. Артём'!AI78</f>
        <v>0</v>
      </c>
      <c r="AC37" s="15">
        <f>'прогн. Артём'!AJ78</f>
        <v>0</v>
      </c>
      <c r="AD37" s="15">
        <f>'прогн. Артём'!AK78</f>
        <v>0</v>
      </c>
      <c r="AE37" s="15">
        <f>'прогн. Артём'!AL78</f>
        <v>0</v>
      </c>
      <c r="AF37" s="15">
        <f>'прогн. Артём'!AM78</f>
        <v>0</v>
      </c>
      <c r="AG37" s="16">
        <f t="shared" ref="AG37:AG38" si="7">SUM(B37:AF37)</f>
        <v>0</v>
      </c>
    </row>
    <row r="38" ht="14.25" customHeight="1">
      <c r="A38" s="31" t="s">
        <v>28</v>
      </c>
      <c r="B38" s="15">
        <f>'прогн. Алина'!I78</f>
        <v>0</v>
      </c>
      <c r="C38" s="15">
        <f>'прогн. Алина'!J78</f>
        <v>0</v>
      </c>
      <c r="D38" s="15">
        <f>'прогн. Алина'!K78</f>
        <v>0</v>
      </c>
      <c r="E38" s="15">
        <f>'прогн. Алина'!L78</f>
        <v>0</v>
      </c>
      <c r="F38" s="15">
        <f>'прогн. Алина'!M78</f>
        <v>0</v>
      </c>
      <c r="G38" s="15">
        <f>'прогн. Алина'!N78</f>
        <v>0</v>
      </c>
      <c r="H38" s="15">
        <f>'прогн. Алина'!O78</f>
        <v>0</v>
      </c>
      <c r="I38" s="15">
        <f>'прогн. Алина'!P78</f>
        <v>65106723</v>
      </c>
      <c r="J38" s="15">
        <f>'прогн. Алина'!Q78</f>
        <v>0</v>
      </c>
      <c r="K38" s="15">
        <f>'прогн. Алина'!R78</f>
        <v>0</v>
      </c>
      <c r="L38" s="15">
        <f>'прогн. Алина'!S78</f>
        <v>0</v>
      </c>
      <c r="M38" s="15">
        <f>'прогн. Алина'!T78</f>
        <v>0</v>
      </c>
      <c r="N38" s="15">
        <f>'прогн. Алина'!U78</f>
        <v>0</v>
      </c>
      <c r="O38" s="15">
        <f>'прогн. Алина'!V78</f>
        <v>0</v>
      </c>
      <c r="P38" s="15">
        <f>'прогн. Алина'!W78</f>
        <v>0</v>
      </c>
      <c r="Q38" s="15">
        <f>'прогн. Алина'!X78</f>
        <v>0</v>
      </c>
      <c r="R38" s="15">
        <f>'прогн. Алина'!Y78</f>
        <v>0</v>
      </c>
      <c r="S38" s="15">
        <f>'прогн. Алина'!Z78</f>
        <v>0</v>
      </c>
      <c r="T38" s="15">
        <f>'прогн. Алина'!AA78</f>
        <v>0</v>
      </c>
      <c r="U38" s="15">
        <f>'прогн. Алина'!AB78</f>
        <v>0</v>
      </c>
      <c r="V38" s="15">
        <f>'прогн. Алина'!AC78</f>
        <v>0</v>
      </c>
      <c r="W38" s="15">
        <f>'прогн. Алина'!AD78</f>
        <v>0</v>
      </c>
      <c r="X38" s="15">
        <f>'прогн. Алина'!AE78</f>
        <v>0</v>
      </c>
      <c r="Y38" s="15">
        <f>'прогн. Алина'!AF78</f>
        <v>0</v>
      </c>
      <c r="Z38" s="15">
        <f>'прогн. Алина'!AG78</f>
        <v>0</v>
      </c>
      <c r="AA38" s="15">
        <f>'прогн. Алина'!AH78</f>
        <v>0</v>
      </c>
      <c r="AB38" s="15">
        <f>'прогн. Алина'!AI78</f>
        <v>0</v>
      </c>
      <c r="AC38" s="15">
        <f>'прогн. Алина'!AJ78</f>
        <v>0</v>
      </c>
      <c r="AD38" s="15">
        <f>'прогн. Алина'!AK78</f>
        <v>0</v>
      </c>
      <c r="AE38" s="15">
        <f>'прогн. Алина'!AL78</f>
        <v>0</v>
      </c>
      <c r="AF38" s="15">
        <f>'прогн. Алина'!AM78</f>
        <v>774956952</v>
      </c>
      <c r="AG38" s="16">
        <f t="shared" si="7"/>
        <v>840063675</v>
      </c>
    </row>
    <row r="39" ht="14.25" customHeight="1">
      <c r="A39" s="1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6"/>
    </row>
    <row r="40" ht="14.25" customHeight="1">
      <c r="A40" s="32" t="s">
        <v>29</v>
      </c>
      <c r="B40" s="33">
        <f t="shared" ref="B40:AF40" si="8">B35+B37+B38</f>
        <v>0</v>
      </c>
      <c r="C40" s="33">
        <f t="shared" si="8"/>
        <v>0</v>
      </c>
      <c r="D40" s="33">
        <f t="shared" si="8"/>
        <v>0</v>
      </c>
      <c r="E40" s="33">
        <f t="shared" si="8"/>
        <v>0</v>
      </c>
      <c r="F40" s="33">
        <f t="shared" si="8"/>
        <v>3860000</v>
      </c>
      <c r="G40" s="33">
        <f t="shared" si="8"/>
        <v>0</v>
      </c>
      <c r="H40" s="33">
        <f t="shared" si="8"/>
        <v>0</v>
      </c>
      <c r="I40" s="33">
        <f t="shared" si="8"/>
        <v>65106723</v>
      </c>
      <c r="J40" s="33">
        <f t="shared" si="8"/>
        <v>0</v>
      </c>
      <c r="K40" s="33">
        <f t="shared" si="8"/>
        <v>3155000</v>
      </c>
      <c r="L40" s="33">
        <f t="shared" si="8"/>
        <v>0</v>
      </c>
      <c r="M40" s="33">
        <f t="shared" si="8"/>
        <v>0</v>
      </c>
      <c r="N40" s="33">
        <f t="shared" si="8"/>
        <v>0</v>
      </c>
      <c r="O40" s="33">
        <f t="shared" si="8"/>
        <v>0</v>
      </c>
      <c r="P40" s="33">
        <f t="shared" si="8"/>
        <v>2291181.77</v>
      </c>
      <c r="Q40" s="33">
        <f t="shared" si="8"/>
        <v>0</v>
      </c>
      <c r="R40" s="33">
        <f t="shared" si="8"/>
        <v>0</v>
      </c>
      <c r="S40" s="33">
        <f t="shared" si="8"/>
        <v>0</v>
      </c>
      <c r="T40" s="33">
        <f t="shared" si="8"/>
        <v>0</v>
      </c>
      <c r="U40" s="33">
        <f t="shared" si="8"/>
        <v>132000000</v>
      </c>
      <c r="V40" s="33">
        <f t="shared" si="8"/>
        <v>0</v>
      </c>
      <c r="W40" s="33">
        <f t="shared" si="8"/>
        <v>0</v>
      </c>
      <c r="X40" s="33">
        <f t="shared" si="8"/>
        <v>0</v>
      </c>
      <c r="Y40" s="33">
        <f t="shared" si="8"/>
        <v>0</v>
      </c>
      <c r="Z40" s="33">
        <f t="shared" si="8"/>
        <v>0</v>
      </c>
      <c r="AA40" s="33">
        <f t="shared" si="8"/>
        <v>0</v>
      </c>
      <c r="AB40" s="33">
        <f t="shared" si="8"/>
        <v>0</v>
      </c>
      <c r="AC40" s="33">
        <f t="shared" si="8"/>
        <v>0</v>
      </c>
      <c r="AD40" s="33">
        <f t="shared" si="8"/>
        <v>10491999.68</v>
      </c>
      <c r="AE40" s="33">
        <f t="shared" si="8"/>
        <v>0</v>
      </c>
      <c r="AF40" s="33">
        <f t="shared" si="8"/>
        <v>774956952</v>
      </c>
      <c r="AG40" s="16">
        <f>SUM(B40:AF40)</f>
        <v>991861856.5</v>
      </c>
    </row>
    <row r="41" ht="14.25" customHeight="1">
      <c r="A41" s="1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6"/>
    </row>
    <row r="42" ht="14.25" customHeight="1">
      <c r="A42" s="34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16"/>
    </row>
    <row r="43" ht="14.25" customHeight="1">
      <c r="A43" s="1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6"/>
    </row>
    <row r="44" ht="14.25" customHeight="1">
      <c r="A44" s="35" t="s">
        <v>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6"/>
    </row>
    <row r="45" ht="14.25" customHeight="1">
      <c r="A45" s="1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6"/>
    </row>
    <row r="46" ht="14.25" customHeight="1">
      <c r="A46" s="31" t="s">
        <v>30</v>
      </c>
      <c r="B46" s="21">
        <f>'прогн. Артём'!I36</f>
        <v>0</v>
      </c>
      <c r="C46" s="21">
        <f>'прогн. Артём'!J36</f>
        <v>0</v>
      </c>
      <c r="D46" s="21">
        <f>'прогн. Артём'!K36</f>
        <v>0</v>
      </c>
      <c r="E46" s="21">
        <f>'прогн. Артём'!L36</f>
        <v>0</v>
      </c>
      <c r="F46" s="21">
        <f>'прогн. Артём'!M36</f>
        <v>0</v>
      </c>
      <c r="G46" s="21">
        <f>'прогн. Артём'!N36</f>
        <v>0</v>
      </c>
      <c r="H46" s="21">
        <f>'прогн. Артём'!O36</f>
        <v>0</v>
      </c>
      <c r="I46" s="21">
        <f>'прогн. Артём'!P36</f>
        <v>0</v>
      </c>
      <c r="J46" s="21">
        <f>'прогн. Артём'!Q36</f>
        <v>0</v>
      </c>
      <c r="K46" s="21">
        <f>'прогн. Артём'!R36</f>
        <v>0</v>
      </c>
      <c r="L46" s="21">
        <f>'прогн. Артём'!S36</f>
        <v>0</v>
      </c>
      <c r="M46" s="21">
        <f>'прогн. Артём'!T36</f>
        <v>0</v>
      </c>
      <c r="N46" s="21">
        <f>'прогн. Артём'!U36</f>
        <v>0</v>
      </c>
      <c r="O46" s="21">
        <f>'прогн. Артём'!V36</f>
        <v>0</v>
      </c>
      <c r="P46" s="21">
        <f>'прогн. Артём'!W36</f>
        <v>0</v>
      </c>
      <c r="Q46" s="21">
        <f>'прогн. Артём'!X36</f>
        <v>0</v>
      </c>
      <c r="R46" s="21">
        <f>'прогн. Артём'!Y36</f>
        <v>0</v>
      </c>
      <c r="S46" s="21">
        <f>'прогн. Артём'!Z36</f>
        <v>0</v>
      </c>
      <c r="T46" s="21">
        <f>'прогн. Артём'!AA36</f>
        <v>0</v>
      </c>
      <c r="U46" s="21">
        <f>'прогн. Артём'!AB36</f>
        <v>0</v>
      </c>
      <c r="V46" s="21">
        <f>'прогн. Артём'!AC36</f>
        <v>0</v>
      </c>
      <c r="W46" s="21">
        <f>'прогн. Артём'!AD36</f>
        <v>0</v>
      </c>
      <c r="X46" s="21">
        <f>'прогн. Артём'!AE36</f>
        <v>0</v>
      </c>
      <c r="Y46" s="21">
        <f>'прогн. Артём'!AF36</f>
        <v>0</v>
      </c>
      <c r="Z46" s="21">
        <f>'прогн. Артём'!AG36</f>
        <v>0</v>
      </c>
      <c r="AA46" s="21">
        <f>'прогн. Артём'!AH36</f>
        <v>0</v>
      </c>
      <c r="AB46" s="21">
        <f>'прогн. Артём'!AI36</f>
        <v>0</v>
      </c>
      <c r="AC46" s="21">
        <f>'прогн. Артём'!AJ36</f>
        <v>0</v>
      </c>
      <c r="AD46" s="21">
        <f>'прогн. Артём'!AK36</f>
        <v>0</v>
      </c>
      <c r="AE46" s="21">
        <f>'прогн. Артём'!AL36</f>
        <v>0</v>
      </c>
      <c r="AF46" s="21">
        <f>'прогн. Артём'!AM36</f>
        <v>0</v>
      </c>
      <c r="AG46" s="16">
        <f t="shared" ref="AG46:AG47" si="9">SUM(B46:AF46)</f>
        <v>0</v>
      </c>
    </row>
    <row r="47" ht="14.25" customHeight="1">
      <c r="A47" s="31" t="s">
        <v>31</v>
      </c>
      <c r="B47" s="21">
        <f>'прогн. Алина'!I36</f>
        <v>0</v>
      </c>
      <c r="C47" s="21">
        <f>'прогн. Алина'!J36</f>
        <v>0</v>
      </c>
      <c r="D47" s="21">
        <f>'прогн. Алина'!K36</f>
        <v>0</v>
      </c>
      <c r="E47" s="21">
        <f>'прогн. Алина'!L36</f>
        <v>0</v>
      </c>
      <c r="F47" s="21">
        <f>'прогн. Алина'!M36</f>
        <v>0</v>
      </c>
      <c r="G47" s="21">
        <f>'прогн. Алина'!N36</f>
        <v>0</v>
      </c>
      <c r="H47" s="21">
        <f>'прогн. Алина'!O36</f>
        <v>0</v>
      </c>
      <c r="I47" s="21">
        <f>'прогн. Алина'!P36</f>
        <v>0</v>
      </c>
      <c r="J47" s="21">
        <f>'прогн. Алина'!Q36</f>
        <v>0</v>
      </c>
      <c r="K47" s="21">
        <f>'прогн. Алина'!R36</f>
        <v>0</v>
      </c>
      <c r="L47" s="21">
        <f>'прогн. Алина'!S36</f>
        <v>0</v>
      </c>
      <c r="M47" s="21">
        <f>'прогн. Алина'!T36</f>
        <v>0</v>
      </c>
      <c r="N47" s="21">
        <f>'прогн. Алина'!U36</f>
        <v>0</v>
      </c>
      <c r="O47" s="21">
        <f>'прогн. Алина'!V36</f>
        <v>0</v>
      </c>
      <c r="P47" s="21">
        <f>'прогн. Алина'!W36</f>
        <v>322915812</v>
      </c>
      <c r="Q47" s="21">
        <f>'прогн. Алина'!X36</f>
        <v>0</v>
      </c>
      <c r="R47" s="21">
        <f>'прогн. Алина'!Y36</f>
        <v>0</v>
      </c>
      <c r="S47" s="21">
        <f>'прогн. Алина'!Z36</f>
        <v>0</v>
      </c>
      <c r="T47" s="21">
        <f>'прогн. Алина'!AA36</f>
        <v>0</v>
      </c>
      <c r="U47" s="21">
        <f>'прогн. Алина'!AB36</f>
        <v>0</v>
      </c>
      <c r="V47" s="21">
        <f>'прогн. Алина'!AC36</f>
        <v>0</v>
      </c>
      <c r="W47" s="21">
        <f>'прогн. Алина'!AD36</f>
        <v>0</v>
      </c>
      <c r="X47" s="21">
        <f>'прогн. Алина'!AE36</f>
        <v>0</v>
      </c>
      <c r="Y47" s="21">
        <f>'прогн. Алина'!AF36</f>
        <v>0</v>
      </c>
      <c r="Z47" s="21">
        <f>'прогн. Алина'!AG36</f>
        <v>0</v>
      </c>
      <c r="AA47" s="21">
        <f>'прогн. Алина'!AH36</f>
        <v>0</v>
      </c>
      <c r="AB47" s="21">
        <f>'прогн. Алина'!AI36</f>
        <v>0</v>
      </c>
      <c r="AC47" s="21">
        <f>'прогн. Алина'!AJ36</f>
        <v>0</v>
      </c>
      <c r="AD47" s="21">
        <f>'прогн. Алина'!AK36</f>
        <v>0</v>
      </c>
      <c r="AE47" s="21">
        <f>'прогн. Алина'!AL36</f>
        <v>0</v>
      </c>
      <c r="AF47" s="21">
        <f>'прогн. Алина'!AM36</f>
        <v>1110300000</v>
      </c>
      <c r="AG47" s="16">
        <f t="shared" si="9"/>
        <v>1433215812</v>
      </c>
    </row>
    <row r="48" ht="14.25" customHeight="1">
      <c r="A48" s="31" t="s">
        <v>32</v>
      </c>
      <c r="B48" s="15">
        <f>'прогн. Артём'!I39+'прогн. Алина'!I39</f>
        <v>0</v>
      </c>
      <c r="C48" s="15">
        <f>'прогн. Артём'!J39+'прогн. Алина'!J39</f>
        <v>0</v>
      </c>
      <c r="D48" s="15">
        <f>'прогн. Артём'!K39+'прогн. Алина'!K39</f>
        <v>0</v>
      </c>
      <c r="E48" s="15">
        <f>'прогн. Артём'!L39+'прогн. Алина'!L39</f>
        <v>0</v>
      </c>
      <c r="F48" s="15">
        <f>'прогн. Артём'!M39+'прогн. Алина'!M39</f>
        <v>0</v>
      </c>
      <c r="G48" s="15">
        <f>'прогн. Артём'!N39+'прогн. Алина'!N39</f>
        <v>0</v>
      </c>
      <c r="H48" s="15">
        <f>'прогн. Артём'!O39+'прогн. Алина'!O39</f>
        <v>0</v>
      </c>
      <c r="I48" s="15">
        <f>'прогн. Артём'!P39+'прогн. Алина'!P39</f>
        <v>0</v>
      </c>
      <c r="J48" s="15">
        <f>'прогн. Артём'!Q39+'прогн. Алина'!Q39</f>
        <v>0</v>
      </c>
      <c r="K48" s="15">
        <f>'прогн. Артём'!R39+'прогн. Алина'!R39</f>
        <v>0</v>
      </c>
      <c r="L48" s="15">
        <f>'прогн. Артём'!S39+'прогн. Алина'!S39</f>
        <v>0</v>
      </c>
      <c r="M48" s="15">
        <f>'прогн. Артём'!T39+'прогн. Алина'!T39</f>
        <v>0</v>
      </c>
      <c r="N48" s="15">
        <f>'прогн. Артём'!U39+'прогн. Алина'!U39</f>
        <v>0</v>
      </c>
      <c r="O48" s="15">
        <f>'прогн. Артём'!V39+'прогн. Алина'!V39</f>
        <v>0</v>
      </c>
      <c r="P48" s="15">
        <f>'прогн. Артём'!W39+'прогн. Алина'!W39</f>
        <v>0</v>
      </c>
      <c r="Q48" s="15">
        <f>'прогн. Артём'!X39+'прогн. Алина'!X39</f>
        <v>0</v>
      </c>
      <c r="R48" s="15">
        <f>'прогн. Артём'!Y39+'прогн. Алина'!Y39</f>
        <v>0</v>
      </c>
      <c r="S48" s="15">
        <f>'прогн. Артём'!Z39+'прогн. Алина'!Z39</f>
        <v>0</v>
      </c>
      <c r="T48" s="15">
        <f>'прогн. Артём'!AA39+'прогн. Алина'!AA39</f>
        <v>0</v>
      </c>
      <c r="U48" s="15">
        <f>'прогн. Артём'!AB39+'прогн. Алина'!AB39</f>
        <v>0</v>
      </c>
      <c r="V48" s="15">
        <f>'прогн. Артём'!AC39+'прогн. Алина'!AC39</f>
        <v>0</v>
      </c>
      <c r="W48" s="15">
        <f>'прогн. Артём'!AD39+'прогн. Алина'!AD39</f>
        <v>0</v>
      </c>
      <c r="X48" s="15">
        <f>'прогн. Артём'!AE39+'прогн. Алина'!AE39</f>
        <v>0</v>
      </c>
      <c r="Y48" s="15">
        <f>'прогн. Артём'!AF39+'прогн. Алина'!AF39</f>
        <v>0</v>
      </c>
      <c r="Z48" s="15">
        <f>'прогн. Артём'!AG39+'прогн. Алина'!AG39</f>
        <v>0</v>
      </c>
      <c r="AA48" s="15">
        <f>'прогн. Артём'!AH39+'прогн. Алина'!AH39</f>
        <v>0</v>
      </c>
      <c r="AB48" s="15">
        <f>'прогн. Артём'!AI39+'прогн. Алина'!AI39</f>
        <v>0</v>
      </c>
      <c r="AC48" s="15">
        <f>'прогн. Артём'!AJ39+'прогн. Алина'!AJ39</f>
        <v>0</v>
      </c>
      <c r="AD48" s="15">
        <f>'прогн. Артём'!AK39+'прогн. Алина'!AK39</f>
        <v>0</v>
      </c>
      <c r="AE48" s="15">
        <f>'прогн. Артём'!AL39+'прогн. Алина'!AL39</f>
        <v>0</v>
      </c>
      <c r="AF48" s="15">
        <f>'прогн. Артём'!AM39+'прогн. Алина'!AM39</f>
        <v>0</v>
      </c>
      <c r="AG48" s="16"/>
    </row>
    <row r="49" ht="14.25" customHeight="1">
      <c r="A49" s="31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6"/>
    </row>
    <row r="50" ht="14.25" customHeight="1">
      <c r="A50" s="36" t="s">
        <v>33</v>
      </c>
      <c r="B50" s="37">
        <f t="shared" ref="B50:AF50" si="10">SUM(B46:B48)</f>
        <v>0</v>
      </c>
      <c r="C50" s="37">
        <f t="shared" si="10"/>
        <v>0</v>
      </c>
      <c r="D50" s="37">
        <f t="shared" si="10"/>
        <v>0</v>
      </c>
      <c r="E50" s="37">
        <f t="shared" si="10"/>
        <v>0</v>
      </c>
      <c r="F50" s="37">
        <f t="shared" si="10"/>
        <v>0</v>
      </c>
      <c r="G50" s="37">
        <f t="shared" si="10"/>
        <v>0</v>
      </c>
      <c r="H50" s="37">
        <f t="shared" si="10"/>
        <v>0</v>
      </c>
      <c r="I50" s="37">
        <f t="shared" si="10"/>
        <v>0</v>
      </c>
      <c r="J50" s="37">
        <f t="shared" si="10"/>
        <v>0</v>
      </c>
      <c r="K50" s="37">
        <f t="shared" si="10"/>
        <v>0</v>
      </c>
      <c r="L50" s="37">
        <f t="shared" si="10"/>
        <v>0</v>
      </c>
      <c r="M50" s="37">
        <f t="shared" si="10"/>
        <v>0</v>
      </c>
      <c r="N50" s="37">
        <f t="shared" si="10"/>
        <v>0</v>
      </c>
      <c r="O50" s="37">
        <f t="shared" si="10"/>
        <v>0</v>
      </c>
      <c r="P50" s="37">
        <f t="shared" si="10"/>
        <v>322915812</v>
      </c>
      <c r="Q50" s="37">
        <f t="shared" si="10"/>
        <v>0</v>
      </c>
      <c r="R50" s="37">
        <f t="shared" si="10"/>
        <v>0</v>
      </c>
      <c r="S50" s="37">
        <f t="shared" si="10"/>
        <v>0</v>
      </c>
      <c r="T50" s="37">
        <f t="shared" si="10"/>
        <v>0</v>
      </c>
      <c r="U50" s="37">
        <f t="shared" si="10"/>
        <v>0</v>
      </c>
      <c r="V50" s="37">
        <f t="shared" si="10"/>
        <v>0</v>
      </c>
      <c r="W50" s="37">
        <f t="shared" si="10"/>
        <v>0</v>
      </c>
      <c r="X50" s="37">
        <f t="shared" si="10"/>
        <v>0</v>
      </c>
      <c r="Y50" s="37">
        <f t="shared" si="10"/>
        <v>0</v>
      </c>
      <c r="Z50" s="37">
        <f t="shared" si="10"/>
        <v>0</v>
      </c>
      <c r="AA50" s="37">
        <f t="shared" si="10"/>
        <v>0</v>
      </c>
      <c r="AB50" s="37">
        <f t="shared" si="10"/>
        <v>0</v>
      </c>
      <c r="AC50" s="37">
        <f t="shared" si="10"/>
        <v>0</v>
      </c>
      <c r="AD50" s="37">
        <f t="shared" si="10"/>
        <v>0</v>
      </c>
      <c r="AE50" s="37">
        <f t="shared" si="10"/>
        <v>0</v>
      </c>
      <c r="AF50" s="37">
        <f t="shared" si="10"/>
        <v>1110300000</v>
      </c>
      <c r="AG50" s="16">
        <f>SUM(B50:AF50)</f>
        <v>1433215812</v>
      </c>
    </row>
    <row r="51" ht="14.25" customHeight="1">
      <c r="A51" s="3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6"/>
    </row>
    <row r="52" ht="20.25" customHeight="1">
      <c r="A52" s="31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6"/>
    </row>
    <row r="53" ht="14.25" customHeight="1">
      <c r="A53" s="1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6"/>
    </row>
    <row r="54" ht="14.25" customHeight="1">
      <c r="A54" s="38" t="s">
        <v>34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21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6"/>
    </row>
    <row r="55" ht="14.25" customHeight="1">
      <c r="A55" s="14"/>
      <c r="B55" s="15"/>
      <c r="C55" s="39"/>
      <c r="D55" s="15"/>
      <c r="E55" s="15"/>
      <c r="F55" s="15"/>
      <c r="G55" s="15"/>
      <c r="H55" s="15"/>
      <c r="I55" s="15"/>
      <c r="J55" s="15"/>
      <c r="K55" s="15"/>
      <c r="L55" s="21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6"/>
    </row>
    <row r="56" ht="14.25" customHeight="1">
      <c r="A56" s="40" t="s">
        <v>35</v>
      </c>
      <c r="B56" s="41">
        <f>B58+B60</f>
        <v>991861856.5</v>
      </c>
      <c r="C56" s="42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6"/>
    </row>
    <row r="57" ht="14.25" customHeight="1">
      <c r="A57" s="43" t="s">
        <v>36</v>
      </c>
      <c r="B57" s="44"/>
      <c r="C57" s="42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6"/>
    </row>
    <row r="58" ht="13.5" customHeight="1">
      <c r="A58" s="43" t="s">
        <v>37</v>
      </c>
      <c r="B58" s="45">
        <f>AG35</f>
        <v>151798181.5</v>
      </c>
      <c r="C58" s="42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7"/>
    </row>
    <row r="59" ht="14.25" customHeight="1">
      <c r="A59" s="48"/>
      <c r="B59" s="44"/>
      <c r="C59" s="31" t="s">
        <v>38</v>
      </c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6"/>
    </row>
    <row r="60" ht="14.25" customHeight="1">
      <c r="A60" s="43" t="s">
        <v>39</v>
      </c>
      <c r="B60" s="45">
        <f>B61+B62+B63</f>
        <v>840063675</v>
      </c>
      <c r="C60" s="42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7"/>
    </row>
    <row r="61" ht="14.25" customHeight="1">
      <c r="A61" s="48" t="s">
        <v>40</v>
      </c>
      <c r="B61" s="44">
        <f>'прогн. Артём'!F58+'прогн. Алина'!F58</f>
        <v>0</v>
      </c>
      <c r="D61" s="42">
        <f t="shared" ref="D61:D63" si="11">B61/$B$60</f>
        <v>0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6"/>
    </row>
    <row r="62" ht="14.25" customHeight="1">
      <c r="A62" s="48" t="s">
        <v>41</v>
      </c>
      <c r="B62" s="44">
        <f>'прогн. Артём'!F68+'прогн. Алина'!F68</f>
        <v>840063675</v>
      </c>
      <c r="D62" s="42">
        <f t="shared" si="11"/>
        <v>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6"/>
    </row>
    <row r="63" ht="14.25" customHeight="1">
      <c r="A63" s="48" t="s">
        <v>42</v>
      </c>
      <c r="B63" s="44">
        <f>'прогн. Артём'!F77+'прогн. Алина'!F77</f>
        <v>0</v>
      </c>
      <c r="D63" s="42">
        <f t="shared" si="11"/>
        <v>0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6"/>
    </row>
    <row r="64" ht="14.25" customHeight="1">
      <c r="A64" s="14"/>
      <c r="B64" s="15"/>
      <c r="D64" s="42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6"/>
    </row>
    <row r="65" ht="14.25" customHeight="1">
      <c r="A65" s="14"/>
      <c r="B65" s="15"/>
      <c r="D65" s="42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6"/>
    </row>
    <row r="66" ht="14.25" customHeight="1">
      <c r="A66" s="14"/>
      <c r="B66" s="15"/>
      <c r="C66" s="31" t="s">
        <v>38</v>
      </c>
      <c r="D66" s="42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6"/>
    </row>
    <row r="67" ht="14.25" customHeight="1">
      <c r="A67" s="49" t="s">
        <v>43</v>
      </c>
      <c r="B67" s="50">
        <f>B69+B70+B71</f>
        <v>1433215812</v>
      </c>
      <c r="D67" s="42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6"/>
    </row>
    <row r="68" ht="14.25" customHeight="1">
      <c r="A68" s="51" t="s">
        <v>36</v>
      </c>
      <c r="B68" s="52"/>
      <c r="D68" s="42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6"/>
    </row>
    <row r="69" ht="14.25" customHeight="1">
      <c r="A69" s="53" t="s">
        <v>40</v>
      </c>
      <c r="B69" s="52">
        <f>'прогн. Артём'!F16+'прогн. Алина'!F16</f>
        <v>0</v>
      </c>
      <c r="D69" s="42">
        <f t="shared" ref="D69:D71" si="12">B69/$B$67</f>
        <v>0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6"/>
    </row>
    <row r="70" ht="14.25" customHeight="1">
      <c r="A70" s="53" t="s">
        <v>41</v>
      </c>
      <c r="B70" s="52">
        <f>'прогн. Артём'!F26+'прогн. Алина'!F26</f>
        <v>1433215812</v>
      </c>
      <c r="D70" s="42">
        <f t="shared" si="12"/>
        <v>1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6"/>
    </row>
    <row r="71" ht="14.25" customHeight="1">
      <c r="A71" s="53" t="s">
        <v>42</v>
      </c>
      <c r="B71" s="52">
        <f>'прогн. Артём'!F35+'прогн. Алина'!F35</f>
        <v>0</v>
      </c>
      <c r="D71" s="42">
        <f t="shared" si="12"/>
        <v>0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6"/>
    </row>
    <row r="72" ht="14.25" customHeight="1">
      <c r="A72" s="14"/>
      <c r="B72" s="15"/>
      <c r="D72" s="42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6"/>
    </row>
    <row r="73" ht="14.25" customHeight="1">
      <c r="A73" s="14"/>
      <c r="B73" s="15"/>
      <c r="C73" s="54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6"/>
    </row>
    <row r="74" ht="14.25" customHeight="1">
      <c r="A74" s="14"/>
      <c r="B74" s="15"/>
      <c r="C74" s="46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6"/>
    </row>
    <row r="75" ht="14.25" customHeight="1">
      <c r="A75" s="14"/>
      <c r="B75" s="15"/>
      <c r="C75" s="46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6"/>
    </row>
    <row r="76" ht="14.25" customHeight="1">
      <c r="A76" s="1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6"/>
    </row>
    <row r="77" ht="14.25" customHeight="1">
      <c r="A77" s="1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6"/>
    </row>
    <row r="78" ht="14.25" customHeight="1">
      <c r="A78" s="1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6"/>
    </row>
    <row r="79" ht="14.25" customHeight="1">
      <c r="A79" s="1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6"/>
    </row>
    <row r="80" ht="14.25" customHeight="1">
      <c r="A80" s="1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6"/>
    </row>
    <row r="81" ht="14.25" customHeight="1">
      <c r="A81" s="1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6"/>
    </row>
    <row r="82" ht="14.25" customHeight="1">
      <c r="A82" s="1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6"/>
    </row>
    <row r="83" ht="14.25" customHeight="1">
      <c r="A83" s="1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6"/>
    </row>
    <row r="84" ht="14.25" customHeight="1">
      <c r="A84" s="1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6"/>
    </row>
    <row r="85" ht="14.25" customHeight="1">
      <c r="A85" s="1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6"/>
    </row>
    <row r="86" ht="14.25" customHeight="1">
      <c r="A86" s="1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6"/>
    </row>
    <row r="87" ht="14.25" customHeight="1">
      <c r="A87" s="1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6"/>
    </row>
    <row r="88" ht="14.25" customHeight="1">
      <c r="A88" s="1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6"/>
    </row>
    <row r="89" ht="14.25" customHeight="1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6"/>
    </row>
    <row r="90" ht="14.25" customHeight="1">
      <c r="A90" s="1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6"/>
    </row>
    <row r="91" ht="14.25" customHeight="1">
      <c r="A91" s="1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6"/>
    </row>
    <row r="92" ht="14.25" customHeight="1">
      <c r="A92" s="1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6"/>
    </row>
    <row r="93" ht="14.25" customHeight="1">
      <c r="A93" s="1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6"/>
    </row>
    <row r="94" ht="14.25" customHeight="1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6"/>
    </row>
    <row r="95" ht="14.25" customHeight="1">
      <c r="A95" s="1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6"/>
    </row>
    <row r="96" ht="14.25" customHeight="1">
      <c r="A96" s="1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6"/>
    </row>
    <row r="97" ht="14.25" customHeight="1">
      <c r="A97" s="1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6"/>
    </row>
    <row r="98" ht="14.25" customHeight="1">
      <c r="A98" s="1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6"/>
    </row>
    <row r="99" ht="14.25" customHeight="1">
      <c r="A99" s="1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6"/>
    </row>
    <row r="100" ht="14.25" customHeight="1">
      <c r="A100" s="1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6"/>
    </row>
    <row r="101" ht="14.25" customHeight="1">
      <c r="A101" s="1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6"/>
    </row>
    <row r="102" ht="14.25" customHeight="1">
      <c r="A102" s="1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6"/>
    </row>
    <row r="103" ht="14.25" customHeight="1">
      <c r="A103" s="1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6"/>
    </row>
    <row r="104" ht="14.25" customHeight="1">
      <c r="A104" s="1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6"/>
    </row>
    <row r="105" ht="14.25" customHeight="1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6"/>
    </row>
    <row r="106" ht="14.25" customHeight="1">
      <c r="A106" s="1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6"/>
    </row>
    <row r="107" ht="14.25" customHeight="1">
      <c r="A107" s="1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6"/>
    </row>
    <row r="108" ht="14.25" customHeight="1">
      <c r="A108" s="1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6"/>
    </row>
    <row r="109" ht="14.25" customHeight="1">
      <c r="A109" s="1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6"/>
    </row>
    <row r="110" ht="14.25" customHeight="1">
      <c r="A110" s="1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6"/>
    </row>
    <row r="111" ht="14.25" customHeight="1">
      <c r="A111" s="1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6"/>
    </row>
    <row r="112" ht="14.25" customHeight="1">
      <c r="A112" s="1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6"/>
    </row>
    <row r="113" ht="14.25" customHeight="1">
      <c r="A113" s="1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6"/>
    </row>
    <row r="114" ht="14.25" customHeight="1">
      <c r="A114" s="1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6"/>
    </row>
    <row r="115" ht="14.25" customHeight="1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6"/>
    </row>
    <row r="116" ht="14.25" customHeight="1">
      <c r="A116" s="1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6"/>
    </row>
    <row r="117" ht="14.25" customHeight="1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6"/>
    </row>
    <row r="118" ht="14.25" customHeight="1">
      <c r="A118" s="1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6"/>
    </row>
    <row r="119" ht="14.25" customHeight="1">
      <c r="A119" s="1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6"/>
    </row>
    <row r="120" ht="14.25" customHeight="1">
      <c r="A120" s="1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6"/>
    </row>
    <row r="121" ht="14.25" customHeight="1">
      <c r="A121" s="1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6"/>
    </row>
    <row r="122" ht="14.25" customHeight="1">
      <c r="A122" s="1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6"/>
    </row>
    <row r="123" ht="14.25" customHeight="1">
      <c r="A123" s="1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6"/>
    </row>
    <row r="124" ht="14.25" customHeight="1">
      <c r="A124" s="1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6"/>
    </row>
    <row r="125" ht="14.25" customHeight="1">
      <c r="A125" s="1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6"/>
    </row>
    <row r="126" ht="14.25" customHeight="1">
      <c r="A126" s="1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6"/>
    </row>
    <row r="127" ht="14.25" customHeight="1">
      <c r="A127" s="1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6"/>
    </row>
    <row r="128" ht="14.25" customHeight="1">
      <c r="A128" s="1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6"/>
    </row>
    <row r="129" ht="14.25" customHeight="1">
      <c r="A129" s="1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6"/>
    </row>
    <row r="130" ht="14.25" customHeight="1">
      <c r="A130" s="1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6"/>
    </row>
    <row r="131" ht="14.25" customHeight="1">
      <c r="A131" s="1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6"/>
    </row>
    <row r="132" ht="14.25" customHeight="1">
      <c r="A132" s="1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6"/>
    </row>
    <row r="133" ht="14.25" customHeight="1">
      <c r="A133" s="1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6"/>
    </row>
    <row r="134" ht="14.25" customHeight="1">
      <c r="A134" s="1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6"/>
    </row>
    <row r="135" ht="14.25" customHeight="1">
      <c r="A135" s="1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6"/>
    </row>
    <row r="136" ht="14.25" customHeight="1">
      <c r="A136" s="1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6"/>
    </row>
    <row r="137" ht="14.25" customHeight="1">
      <c r="A137" s="1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6"/>
    </row>
    <row r="138" ht="14.25" customHeight="1">
      <c r="A138" s="1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6"/>
    </row>
    <row r="139" ht="14.25" customHeight="1">
      <c r="A139" s="1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6"/>
    </row>
    <row r="140" ht="14.25" customHeight="1">
      <c r="A140" s="1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6"/>
    </row>
    <row r="141" ht="14.25" customHeight="1">
      <c r="A141" s="1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6"/>
    </row>
    <row r="142" ht="14.25" customHeight="1">
      <c r="A142" s="1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6"/>
    </row>
    <row r="143" ht="14.25" customHeight="1">
      <c r="A143" s="1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6"/>
    </row>
    <row r="144" ht="14.25" customHeight="1">
      <c r="A144" s="1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6"/>
    </row>
    <row r="145" ht="14.25" customHeight="1">
      <c r="A145" s="1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6"/>
    </row>
    <row r="146" ht="14.25" customHeight="1">
      <c r="A146" s="1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6"/>
    </row>
    <row r="147" ht="14.25" customHeight="1">
      <c r="A147" s="1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6"/>
    </row>
    <row r="148" ht="14.25" customHeight="1">
      <c r="A148" s="1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6"/>
    </row>
    <row r="149" ht="14.25" customHeight="1">
      <c r="A149" s="1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6"/>
    </row>
    <row r="150" ht="14.25" customHeight="1">
      <c r="A150" s="1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6"/>
    </row>
    <row r="151" ht="14.25" customHeight="1">
      <c r="A151" s="1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6"/>
    </row>
    <row r="152" ht="14.25" customHeight="1">
      <c r="A152" s="1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6"/>
    </row>
    <row r="153" ht="14.25" customHeight="1">
      <c r="A153" s="1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6"/>
    </row>
    <row r="154" ht="14.25" customHeight="1">
      <c r="A154" s="1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6"/>
    </row>
    <row r="155" ht="14.25" customHeight="1">
      <c r="A155" s="1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6"/>
    </row>
    <row r="156" ht="14.25" customHeight="1">
      <c r="A156" s="1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6"/>
    </row>
    <row r="157" ht="14.25" customHeight="1">
      <c r="A157" s="1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6"/>
    </row>
    <row r="158" ht="14.25" customHeight="1">
      <c r="A158" s="1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6"/>
    </row>
    <row r="159" ht="14.25" customHeight="1">
      <c r="A159" s="1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6"/>
    </row>
    <row r="160" ht="14.25" customHeight="1">
      <c r="A160" s="1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6"/>
    </row>
    <row r="161" ht="14.25" customHeight="1">
      <c r="A161" s="1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6"/>
    </row>
    <row r="162" ht="14.25" customHeight="1">
      <c r="A162" s="1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6"/>
    </row>
    <row r="163" ht="14.25" customHeight="1">
      <c r="A163" s="1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6"/>
    </row>
    <row r="164" ht="14.25" customHeight="1">
      <c r="A164" s="1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6"/>
    </row>
    <row r="165" ht="14.25" customHeight="1">
      <c r="A165" s="1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6"/>
    </row>
    <row r="166" ht="14.25" customHeight="1">
      <c r="A166" s="1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6"/>
    </row>
    <row r="167" ht="14.25" customHeight="1">
      <c r="A167" s="1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6"/>
    </row>
    <row r="168" ht="14.25" customHeight="1">
      <c r="A168" s="1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6"/>
    </row>
    <row r="169" ht="14.25" customHeight="1">
      <c r="A169" s="1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6"/>
    </row>
    <row r="170" ht="14.25" customHeight="1">
      <c r="A170" s="1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6"/>
    </row>
    <row r="171" ht="14.25" customHeight="1">
      <c r="A171" s="1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6"/>
    </row>
    <row r="172" ht="14.25" customHeight="1">
      <c r="A172" s="1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6"/>
    </row>
    <row r="173" ht="14.25" customHeight="1">
      <c r="A173" s="1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6"/>
    </row>
    <row r="174" ht="14.25" customHeight="1">
      <c r="A174" s="1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6"/>
    </row>
    <row r="175" ht="14.25" customHeight="1">
      <c r="A175" s="1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6"/>
    </row>
    <row r="176" ht="14.25" customHeight="1">
      <c r="A176" s="1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6"/>
    </row>
    <row r="177" ht="14.25" customHeight="1">
      <c r="A177" s="1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6"/>
    </row>
    <row r="178" ht="14.25" customHeight="1">
      <c r="A178" s="1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6"/>
    </row>
    <row r="179" ht="14.25" customHeight="1">
      <c r="A179" s="1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6"/>
    </row>
    <row r="180" ht="14.25" customHeight="1">
      <c r="A180" s="1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6"/>
    </row>
    <row r="181" ht="14.25" customHeight="1">
      <c r="A181" s="1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6"/>
    </row>
    <row r="182" ht="14.25" customHeight="1">
      <c r="A182" s="1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6"/>
    </row>
    <row r="183" ht="14.25" customHeight="1">
      <c r="A183" s="1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6"/>
    </row>
    <row r="184" ht="14.25" customHeight="1">
      <c r="A184" s="1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6"/>
    </row>
    <row r="185" ht="14.25" customHeight="1">
      <c r="A185" s="1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6"/>
    </row>
    <row r="186" ht="14.25" customHeight="1">
      <c r="A186" s="1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6"/>
    </row>
    <row r="187" ht="14.25" customHeight="1">
      <c r="A187" s="1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6"/>
    </row>
    <row r="188" ht="14.25" customHeight="1">
      <c r="A188" s="1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6"/>
    </row>
    <row r="189" ht="14.25" customHeight="1">
      <c r="A189" s="1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6"/>
    </row>
    <row r="190" ht="14.25" customHeight="1">
      <c r="A190" s="1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6"/>
    </row>
    <row r="191" ht="14.25" customHeight="1">
      <c r="A191" s="1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6"/>
    </row>
    <row r="192" ht="14.25" customHeight="1">
      <c r="A192" s="1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6"/>
    </row>
    <row r="193" ht="14.25" customHeight="1">
      <c r="A193" s="1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6"/>
    </row>
    <row r="194" ht="14.25" customHeight="1">
      <c r="A194" s="1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6"/>
    </row>
    <row r="195" ht="14.25" customHeight="1">
      <c r="A195" s="1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6"/>
    </row>
    <row r="196" ht="14.25" customHeight="1">
      <c r="A196" s="1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6"/>
    </row>
    <row r="197" ht="14.25" customHeight="1">
      <c r="A197" s="1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6"/>
    </row>
    <row r="198" ht="14.25" customHeight="1">
      <c r="A198" s="1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6"/>
    </row>
    <row r="199" ht="14.25" customHeight="1">
      <c r="A199" s="1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6"/>
    </row>
    <row r="200" ht="14.25" customHeight="1">
      <c r="A200" s="1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6"/>
    </row>
    <row r="201" ht="14.25" customHeight="1">
      <c r="A201" s="1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6"/>
    </row>
    <row r="202" ht="14.25" customHeight="1">
      <c r="A202" s="1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6"/>
    </row>
    <row r="203" ht="14.25" customHeight="1">
      <c r="A203" s="1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6"/>
    </row>
    <row r="204" ht="14.25" customHeight="1">
      <c r="A204" s="1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6"/>
    </row>
    <row r="205" ht="14.25" customHeight="1">
      <c r="A205" s="1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6"/>
    </row>
    <row r="206" ht="14.25" customHeight="1">
      <c r="A206" s="1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6"/>
    </row>
    <row r="207" ht="14.25" customHeight="1">
      <c r="A207" s="1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6"/>
    </row>
    <row r="208" ht="14.25" customHeight="1">
      <c r="A208" s="1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6"/>
    </row>
    <row r="209" ht="14.25" customHeight="1">
      <c r="A209" s="1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6"/>
    </row>
    <row r="210" ht="14.25" customHeight="1">
      <c r="A210" s="1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6"/>
    </row>
    <row r="211" ht="14.25" customHeight="1">
      <c r="A211" s="1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6"/>
    </row>
    <row r="212" ht="14.25" customHeight="1">
      <c r="A212" s="1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6"/>
    </row>
    <row r="213" ht="14.25" customHeight="1">
      <c r="A213" s="1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6"/>
    </row>
    <row r="214" ht="14.25" customHeight="1">
      <c r="A214" s="1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6"/>
    </row>
    <row r="215" ht="14.25" customHeight="1">
      <c r="A215" s="1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6"/>
    </row>
    <row r="216" ht="14.25" customHeight="1">
      <c r="A216" s="1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6"/>
    </row>
    <row r="217" ht="14.25" customHeight="1">
      <c r="A217" s="1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6"/>
    </row>
    <row r="218" ht="14.25" customHeight="1">
      <c r="A218" s="1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6"/>
    </row>
    <row r="219" ht="14.25" customHeight="1">
      <c r="A219" s="1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6"/>
    </row>
    <row r="220" ht="14.25" customHeight="1">
      <c r="A220" s="1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6"/>
    </row>
    <row r="221" ht="14.25" customHeight="1">
      <c r="A221" s="1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6"/>
    </row>
    <row r="222" ht="14.25" customHeight="1">
      <c r="A222" s="1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6"/>
    </row>
    <row r="223" ht="14.25" customHeight="1">
      <c r="A223" s="1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6"/>
    </row>
    <row r="224" ht="14.25" customHeight="1">
      <c r="A224" s="1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6"/>
    </row>
    <row r="225" ht="14.25" customHeight="1">
      <c r="A225" s="1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6"/>
    </row>
    <row r="226" ht="14.25" customHeight="1">
      <c r="A226" s="1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6"/>
    </row>
    <row r="227" ht="14.25" customHeight="1">
      <c r="A227" s="1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6"/>
    </row>
    <row r="228" ht="14.25" customHeight="1">
      <c r="A228" s="1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6"/>
    </row>
    <row r="229" ht="14.25" customHeight="1">
      <c r="A229" s="1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6"/>
    </row>
    <row r="230" ht="14.25" customHeight="1">
      <c r="A230" s="1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6"/>
    </row>
    <row r="231" ht="14.25" customHeight="1">
      <c r="A231" s="1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6"/>
    </row>
    <row r="232" ht="14.25" customHeight="1">
      <c r="A232" s="1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6"/>
    </row>
    <row r="233" ht="14.25" customHeight="1">
      <c r="A233" s="1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6"/>
    </row>
    <row r="234" ht="14.25" customHeight="1">
      <c r="A234" s="1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6"/>
    </row>
    <row r="235" ht="14.25" customHeight="1">
      <c r="A235" s="1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6"/>
    </row>
    <row r="236" ht="14.25" customHeight="1">
      <c r="A236" s="1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6"/>
    </row>
    <row r="237" ht="14.25" customHeight="1">
      <c r="A237" s="1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6"/>
    </row>
    <row r="238" ht="14.25" customHeight="1">
      <c r="A238" s="1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6"/>
    </row>
    <row r="239" ht="14.25" customHeight="1">
      <c r="A239" s="1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6"/>
    </row>
    <row r="240" ht="14.25" customHeight="1">
      <c r="A240" s="1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6"/>
    </row>
    <row r="241" ht="14.25" customHeight="1">
      <c r="A241" s="1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6"/>
    </row>
    <row r="242" ht="14.25" customHeight="1">
      <c r="A242" s="1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6"/>
    </row>
    <row r="243" ht="14.25" customHeight="1">
      <c r="A243" s="1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6"/>
    </row>
    <row r="244" ht="14.25" customHeight="1">
      <c r="A244" s="1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6"/>
    </row>
    <row r="245" ht="14.25" customHeight="1">
      <c r="A245" s="1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6"/>
    </row>
    <row r="246" ht="14.25" customHeight="1">
      <c r="A246" s="1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6"/>
    </row>
    <row r="247" ht="14.25" customHeight="1">
      <c r="A247" s="1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6"/>
    </row>
    <row r="248" ht="14.25" customHeight="1">
      <c r="A248" s="1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6"/>
    </row>
    <row r="249" ht="14.25" customHeight="1">
      <c r="A249" s="1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6"/>
    </row>
    <row r="250" ht="14.25" customHeight="1">
      <c r="A250" s="1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6"/>
    </row>
    <row r="251" ht="14.25" customHeight="1">
      <c r="A251" s="1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6"/>
    </row>
    <row r="252" ht="14.25" customHeight="1">
      <c r="A252" s="1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6"/>
    </row>
    <row r="253" ht="14.25" customHeight="1">
      <c r="A253" s="1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6"/>
    </row>
    <row r="254" ht="14.25" customHeight="1">
      <c r="A254" s="1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6"/>
    </row>
    <row r="255" ht="14.25" customHeight="1">
      <c r="A255" s="1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6"/>
    </row>
    <row r="256" ht="14.25" customHeight="1">
      <c r="A256" s="1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6"/>
    </row>
    <row r="257" ht="14.25" customHeight="1">
      <c r="A257" s="1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6"/>
    </row>
    <row r="258" ht="14.25" customHeight="1">
      <c r="A258" s="1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6"/>
    </row>
    <row r="259" ht="14.25" customHeight="1">
      <c r="A259" s="1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6"/>
    </row>
    <row r="260" ht="14.25" customHeight="1">
      <c r="A260" s="1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6"/>
    </row>
    <row r="261" ht="14.25" customHeight="1">
      <c r="A261" s="1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6"/>
    </row>
    <row r="262" ht="14.25" customHeight="1">
      <c r="A262" s="1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6"/>
    </row>
    <row r="263" ht="14.25" customHeight="1">
      <c r="A263" s="1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6"/>
    </row>
    <row r="264" ht="14.25" customHeight="1">
      <c r="A264" s="1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6"/>
    </row>
    <row r="265" ht="14.25" customHeight="1">
      <c r="A265" s="1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6"/>
    </row>
    <row r="266" ht="14.25" customHeight="1">
      <c r="A266" s="1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6"/>
    </row>
    <row r="267" ht="14.25" customHeight="1">
      <c r="A267" s="1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6"/>
    </row>
    <row r="268" ht="14.25" customHeight="1">
      <c r="A268" s="1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6"/>
    </row>
    <row r="269" ht="14.25" customHeight="1">
      <c r="A269" s="1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6"/>
    </row>
    <row r="270" ht="14.25" customHeight="1">
      <c r="A270" s="1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6"/>
    </row>
    <row r="271" ht="14.25" customHeight="1">
      <c r="A271" s="1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6"/>
    </row>
    <row r="272" ht="14.25" customHeight="1">
      <c r="A272" s="1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6"/>
    </row>
    <row r="273" ht="14.25" customHeight="1">
      <c r="A273" s="1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6"/>
    </row>
    <row r="274" ht="14.25" customHeight="1">
      <c r="A274" s="1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6"/>
    </row>
    <row r="275" ht="14.25" customHeight="1">
      <c r="A275" s="1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6"/>
    </row>
    <row r="276" ht="14.25" customHeight="1">
      <c r="A276" s="1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6"/>
    </row>
    <row r="277" ht="14.25" customHeight="1">
      <c r="A277" s="1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6"/>
    </row>
    <row r="278" ht="14.25" customHeight="1">
      <c r="A278" s="1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6"/>
    </row>
    <row r="279" ht="14.25" customHeight="1">
      <c r="A279" s="1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6"/>
    </row>
    <row r="280" ht="14.25" customHeight="1">
      <c r="A280" s="1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6"/>
    </row>
    <row r="281" ht="14.25" customHeight="1">
      <c r="A281" s="1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6"/>
    </row>
    <row r="282" ht="14.25" customHeight="1">
      <c r="A282" s="1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6"/>
    </row>
    <row r="283" ht="14.25" customHeight="1">
      <c r="A283" s="1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6"/>
    </row>
    <row r="284" ht="14.25" customHeight="1">
      <c r="A284" s="1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6"/>
    </row>
    <row r="285" ht="14.25" customHeight="1">
      <c r="A285" s="1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6"/>
    </row>
    <row r="286" ht="14.25" customHeight="1">
      <c r="A286" s="1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6"/>
    </row>
    <row r="287" ht="14.25" customHeight="1">
      <c r="A287" s="1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6"/>
    </row>
    <row r="288" ht="14.25" customHeight="1">
      <c r="A288" s="1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6"/>
    </row>
    <row r="289" ht="14.25" customHeight="1">
      <c r="A289" s="1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6"/>
    </row>
    <row r="290" ht="14.25" customHeight="1">
      <c r="A290" s="1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6"/>
    </row>
    <row r="291" ht="14.25" customHeight="1">
      <c r="A291" s="1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6"/>
    </row>
    <row r="292" ht="14.25" customHeight="1">
      <c r="A292" s="1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6"/>
    </row>
    <row r="293" ht="14.25" customHeight="1">
      <c r="A293" s="1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6"/>
    </row>
    <row r="294" ht="14.25" customHeight="1">
      <c r="A294" s="1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6"/>
    </row>
    <row r="295" ht="14.25" customHeight="1">
      <c r="A295" s="1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6"/>
    </row>
    <row r="296" ht="14.25" customHeight="1">
      <c r="A296" s="1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6"/>
    </row>
    <row r="297" ht="14.25" customHeight="1">
      <c r="A297" s="1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6"/>
    </row>
    <row r="298" ht="14.25" customHeight="1">
      <c r="A298" s="1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6"/>
    </row>
    <row r="299" ht="14.25" customHeight="1">
      <c r="A299" s="1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6"/>
    </row>
    <row r="300" ht="14.25" customHeight="1">
      <c r="A300" s="1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6"/>
    </row>
    <row r="301" ht="14.25" customHeight="1">
      <c r="A301" s="1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6"/>
    </row>
    <row r="302" ht="14.25" customHeight="1">
      <c r="A302" s="1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6"/>
    </row>
    <row r="303" ht="14.25" customHeight="1">
      <c r="A303" s="1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6"/>
    </row>
    <row r="304" ht="14.25" customHeight="1">
      <c r="A304" s="1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6"/>
    </row>
    <row r="305" ht="14.25" customHeight="1">
      <c r="A305" s="1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6"/>
    </row>
    <row r="306" ht="14.25" customHeight="1">
      <c r="A306" s="1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6"/>
    </row>
    <row r="307" ht="14.25" customHeight="1">
      <c r="A307" s="1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6"/>
    </row>
    <row r="308" ht="14.25" customHeight="1">
      <c r="A308" s="1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6"/>
    </row>
    <row r="309" ht="14.25" customHeight="1">
      <c r="A309" s="1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6"/>
    </row>
    <row r="310" ht="14.25" customHeight="1">
      <c r="A310" s="1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6"/>
    </row>
    <row r="311" ht="14.25" customHeight="1">
      <c r="A311" s="1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6"/>
    </row>
    <row r="312" ht="14.25" customHeight="1">
      <c r="A312" s="1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6"/>
    </row>
    <row r="313" ht="14.25" customHeight="1">
      <c r="A313" s="1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6"/>
    </row>
    <row r="314" ht="14.25" customHeight="1">
      <c r="A314" s="1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6"/>
    </row>
    <row r="315" ht="14.25" customHeight="1">
      <c r="A315" s="1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6"/>
    </row>
    <row r="316" ht="14.25" customHeight="1">
      <c r="A316" s="1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6"/>
    </row>
    <row r="317" ht="14.25" customHeight="1">
      <c r="A317" s="1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6"/>
    </row>
    <row r="318" ht="14.25" customHeight="1">
      <c r="A318" s="1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6"/>
    </row>
    <row r="319" ht="14.25" customHeight="1">
      <c r="A319" s="1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6"/>
    </row>
    <row r="320" ht="14.25" customHeight="1">
      <c r="A320" s="1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6"/>
    </row>
    <row r="321" ht="14.25" customHeight="1">
      <c r="A321" s="1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6"/>
    </row>
    <row r="322" ht="14.25" customHeight="1">
      <c r="A322" s="1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6"/>
    </row>
    <row r="323" ht="14.25" customHeight="1">
      <c r="A323" s="1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6"/>
    </row>
    <row r="324" ht="14.25" customHeight="1">
      <c r="A324" s="1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6"/>
    </row>
    <row r="325" ht="14.25" customHeight="1">
      <c r="A325" s="1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6"/>
    </row>
    <row r="326" ht="14.25" customHeight="1">
      <c r="A326" s="1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6"/>
    </row>
    <row r="327" ht="14.25" customHeight="1">
      <c r="A327" s="1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6"/>
    </row>
    <row r="328" ht="14.25" customHeight="1">
      <c r="A328" s="1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6"/>
    </row>
    <row r="329" ht="14.25" customHeight="1">
      <c r="A329" s="1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6"/>
    </row>
    <row r="330" ht="14.25" customHeight="1">
      <c r="A330" s="1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6"/>
    </row>
    <row r="331" ht="14.25" customHeight="1">
      <c r="A331" s="1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6"/>
    </row>
    <row r="332" ht="14.25" customHeight="1">
      <c r="A332" s="1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6"/>
    </row>
    <row r="333" ht="14.25" customHeight="1">
      <c r="A333" s="1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6"/>
    </row>
    <row r="334" ht="14.25" customHeight="1">
      <c r="A334" s="1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6"/>
    </row>
    <row r="335" ht="14.25" customHeight="1">
      <c r="A335" s="1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6"/>
    </row>
    <row r="336" ht="14.25" customHeight="1">
      <c r="A336" s="1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6"/>
    </row>
    <row r="337" ht="14.25" customHeight="1">
      <c r="A337" s="1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6"/>
    </row>
    <row r="338" ht="14.25" customHeight="1">
      <c r="A338" s="1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6"/>
    </row>
    <row r="339" ht="14.25" customHeight="1">
      <c r="A339" s="1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6"/>
    </row>
    <row r="340" ht="14.25" customHeight="1">
      <c r="A340" s="1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6"/>
    </row>
    <row r="341" ht="14.25" customHeight="1">
      <c r="A341" s="1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6"/>
    </row>
    <row r="342" ht="14.25" customHeight="1">
      <c r="A342" s="1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6"/>
    </row>
    <row r="343" ht="14.25" customHeight="1">
      <c r="A343" s="1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6"/>
    </row>
    <row r="344" ht="14.25" customHeight="1">
      <c r="A344" s="1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6"/>
    </row>
    <row r="345" ht="14.25" customHeight="1">
      <c r="A345" s="1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6"/>
    </row>
    <row r="346" ht="14.25" customHeight="1">
      <c r="A346" s="1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6"/>
    </row>
    <row r="347" ht="14.25" customHeight="1">
      <c r="A347" s="1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6"/>
    </row>
    <row r="348" ht="14.25" customHeight="1">
      <c r="A348" s="1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6"/>
    </row>
    <row r="349" ht="14.25" customHeight="1">
      <c r="A349" s="1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6"/>
    </row>
    <row r="350" ht="14.25" customHeight="1">
      <c r="A350" s="1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6"/>
    </row>
    <row r="351" ht="14.25" customHeight="1">
      <c r="A351" s="1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6"/>
    </row>
    <row r="352" ht="14.25" customHeight="1">
      <c r="A352" s="1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6"/>
    </row>
    <row r="353" ht="14.25" customHeight="1">
      <c r="A353" s="1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6"/>
    </row>
    <row r="354" ht="14.25" customHeight="1">
      <c r="A354" s="1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6"/>
    </row>
    <row r="355" ht="14.25" customHeight="1">
      <c r="A355" s="1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6"/>
    </row>
    <row r="356" ht="14.25" customHeight="1">
      <c r="A356" s="1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6"/>
    </row>
    <row r="357" ht="14.25" customHeight="1">
      <c r="A357" s="1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6"/>
    </row>
    <row r="358" ht="14.25" customHeight="1">
      <c r="A358" s="1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6"/>
    </row>
    <row r="359" ht="14.25" customHeight="1">
      <c r="A359" s="1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6"/>
    </row>
    <row r="360" ht="14.25" customHeight="1">
      <c r="A360" s="1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6"/>
    </row>
    <row r="361" ht="14.25" customHeight="1">
      <c r="A361" s="1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6"/>
    </row>
    <row r="362" ht="14.25" customHeight="1">
      <c r="A362" s="1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6"/>
    </row>
    <row r="363" ht="14.25" customHeight="1">
      <c r="A363" s="1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6"/>
    </row>
    <row r="364" ht="14.25" customHeight="1">
      <c r="A364" s="1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6"/>
    </row>
    <row r="365" ht="14.25" customHeight="1">
      <c r="A365" s="1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6"/>
    </row>
    <row r="366" ht="14.25" customHeight="1">
      <c r="A366" s="1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6"/>
    </row>
    <row r="367" ht="14.25" customHeight="1">
      <c r="A367" s="1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6"/>
    </row>
    <row r="368" ht="14.25" customHeight="1">
      <c r="A368" s="1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6"/>
    </row>
    <row r="369" ht="14.25" customHeight="1">
      <c r="A369" s="1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6"/>
    </row>
    <row r="370" ht="14.25" customHeight="1">
      <c r="A370" s="1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6"/>
    </row>
    <row r="371" ht="14.25" customHeight="1">
      <c r="A371" s="1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6"/>
    </row>
    <row r="372" ht="14.25" customHeight="1">
      <c r="A372" s="1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6"/>
    </row>
    <row r="373" ht="14.25" customHeight="1">
      <c r="A373" s="1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6"/>
    </row>
    <row r="374" ht="14.25" customHeight="1">
      <c r="A374" s="1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6"/>
    </row>
    <row r="375" ht="14.25" customHeight="1">
      <c r="A375" s="1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6"/>
    </row>
    <row r="376" ht="14.25" customHeight="1">
      <c r="A376" s="1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6"/>
    </row>
    <row r="377" ht="14.25" customHeight="1">
      <c r="A377" s="1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6"/>
    </row>
    <row r="378" ht="14.25" customHeight="1">
      <c r="A378" s="1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6"/>
    </row>
    <row r="379" ht="14.25" customHeight="1">
      <c r="A379" s="1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6"/>
    </row>
    <row r="380" ht="14.25" customHeight="1">
      <c r="A380" s="1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6"/>
    </row>
    <row r="381" ht="14.25" customHeight="1">
      <c r="A381" s="1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6"/>
    </row>
    <row r="382" ht="14.25" customHeight="1">
      <c r="A382" s="1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6"/>
    </row>
    <row r="383" ht="14.25" customHeight="1">
      <c r="A383" s="1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6"/>
    </row>
    <row r="384" ht="14.25" customHeight="1">
      <c r="A384" s="1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6"/>
    </row>
    <row r="385" ht="14.25" customHeight="1">
      <c r="A385" s="1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6"/>
    </row>
    <row r="386" ht="14.25" customHeight="1">
      <c r="A386" s="1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6"/>
    </row>
    <row r="387" ht="14.25" customHeight="1">
      <c r="A387" s="1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6"/>
    </row>
    <row r="388" ht="14.25" customHeight="1">
      <c r="A388" s="1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6"/>
    </row>
    <row r="389" ht="14.25" customHeight="1">
      <c r="A389" s="1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6"/>
    </row>
    <row r="390" ht="14.25" customHeight="1">
      <c r="A390" s="1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6"/>
    </row>
    <row r="391" ht="14.25" customHeight="1">
      <c r="A391" s="1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6"/>
    </row>
    <row r="392" ht="14.25" customHeight="1">
      <c r="A392" s="1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6"/>
    </row>
    <row r="393" ht="14.25" customHeight="1">
      <c r="A393" s="1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6"/>
    </row>
    <row r="394" ht="14.25" customHeight="1">
      <c r="A394" s="1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6"/>
    </row>
    <row r="395" ht="14.25" customHeight="1">
      <c r="A395" s="1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6"/>
    </row>
    <row r="396" ht="14.25" customHeight="1">
      <c r="A396" s="1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6"/>
    </row>
    <row r="397" ht="14.25" customHeight="1">
      <c r="A397" s="1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6"/>
    </row>
    <row r="398" ht="14.25" customHeight="1">
      <c r="A398" s="1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6"/>
    </row>
    <row r="399" ht="14.25" customHeight="1">
      <c r="A399" s="1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6"/>
    </row>
    <row r="400" ht="14.25" customHeight="1">
      <c r="A400" s="1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6"/>
    </row>
    <row r="401" ht="14.25" customHeight="1">
      <c r="A401" s="1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6"/>
    </row>
    <row r="402" ht="14.25" customHeight="1">
      <c r="A402" s="1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6"/>
    </row>
    <row r="403" ht="14.25" customHeight="1">
      <c r="A403" s="1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6"/>
    </row>
    <row r="404" ht="14.25" customHeight="1">
      <c r="A404" s="1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6"/>
    </row>
    <row r="405" ht="14.25" customHeight="1">
      <c r="A405" s="1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6"/>
    </row>
    <row r="406" ht="14.25" customHeight="1">
      <c r="A406" s="1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6"/>
    </row>
    <row r="407" ht="14.25" customHeight="1">
      <c r="A407" s="1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6"/>
    </row>
    <row r="408" ht="14.25" customHeight="1">
      <c r="A408" s="1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6"/>
    </row>
    <row r="409" ht="14.25" customHeight="1">
      <c r="A409" s="1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6"/>
    </row>
    <row r="410" ht="14.25" customHeight="1">
      <c r="A410" s="1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6"/>
    </row>
    <row r="411" ht="14.25" customHeight="1">
      <c r="A411" s="1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6"/>
    </row>
    <row r="412" ht="14.25" customHeight="1">
      <c r="A412" s="1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6"/>
    </row>
    <row r="413" ht="14.25" customHeight="1">
      <c r="A413" s="1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6"/>
    </row>
    <row r="414" ht="14.25" customHeight="1">
      <c r="A414" s="1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6"/>
    </row>
    <row r="415" ht="14.25" customHeight="1">
      <c r="A415" s="1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6"/>
    </row>
    <row r="416" ht="14.25" customHeight="1">
      <c r="A416" s="1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6"/>
    </row>
    <row r="417" ht="14.25" customHeight="1">
      <c r="A417" s="1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6"/>
    </row>
    <row r="418" ht="14.25" customHeight="1">
      <c r="A418" s="1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6"/>
    </row>
    <row r="419" ht="14.25" customHeight="1">
      <c r="A419" s="1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6"/>
    </row>
    <row r="420" ht="14.25" customHeight="1">
      <c r="A420" s="1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6"/>
    </row>
    <row r="421" ht="14.25" customHeight="1">
      <c r="A421" s="1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6"/>
    </row>
    <row r="422" ht="14.25" customHeight="1">
      <c r="A422" s="1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6"/>
    </row>
    <row r="423" ht="14.25" customHeight="1">
      <c r="A423" s="1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6"/>
    </row>
    <row r="424" ht="14.25" customHeight="1">
      <c r="A424" s="1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6"/>
    </row>
    <row r="425" ht="14.25" customHeight="1">
      <c r="A425" s="1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6"/>
    </row>
    <row r="426" ht="14.25" customHeight="1">
      <c r="A426" s="1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6"/>
    </row>
    <row r="427" ht="14.25" customHeight="1">
      <c r="A427" s="1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6"/>
    </row>
    <row r="428" ht="14.25" customHeight="1">
      <c r="A428" s="1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6"/>
    </row>
    <row r="429" ht="14.25" customHeight="1">
      <c r="A429" s="1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6"/>
    </row>
    <row r="430" ht="14.25" customHeight="1">
      <c r="A430" s="1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6"/>
    </row>
    <row r="431" ht="14.25" customHeight="1">
      <c r="A431" s="1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6"/>
    </row>
    <row r="432" ht="14.25" customHeight="1">
      <c r="A432" s="1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6"/>
    </row>
    <row r="433" ht="14.25" customHeight="1">
      <c r="A433" s="1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6"/>
    </row>
    <row r="434" ht="14.25" customHeight="1">
      <c r="A434" s="1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6"/>
    </row>
    <row r="435" ht="14.25" customHeight="1">
      <c r="A435" s="1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6"/>
    </row>
    <row r="436" ht="14.25" customHeight="1">
      <c r="A436" s="1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6"/>
    </row>
    <row r="437" ht="14.25" customHeight="1">
      <c r="A437" s="1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6"/>
    </row>
    <row r="438" ht="14.25" customHeight="1">
      <c r="A438" s="1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6"/>
    </row>
    <row r="439" ht="14.25" customHeight="1">
      <c r="A439" s="1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6"/>
    </row>
    <row r="440" ht="14.25" customHeight="1">
      <c r="A440" s="1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6"/>
    </row>
    <row r="441" ht="14.25" customHeight="1">
      <c r="A441" s="1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6"/>
    </row>
    <row r="442" ht="14.25" customHeight="1">
      <c r="A442" s="1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6"/>
    </row>
    <row r="443" ht="14.25" customHeight="1">
      <c r="A443" s="1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6"/>
    </row>
    <row r="444" ht="14.25" customHeight="1">
      <c r="A444" s="1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6"/>
    </row>
    <row r="445" ht="14.25" customHeight="1">
      <c r="A445" s="1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6"/>
    </row>
    <row r="446" ht="14.25" customHeight="1">
      <c r="A446" s="1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6"/>
    </row>
    <row r="447" ht="14.25" customHeight="1">
      <c r="A447" s="1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6"/>
    </row>
    <row r="448" ht="14.25" customHeight="1">
      <c r="A448" s="1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6"/>
    </row>
    <row r="449" ht="14.25" customHeight="1">
      <c r="A449" s="1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6"/>
    </row>
    <row r="450" ht="14.25" customHeight="1">
      <c r="A450" s="1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6"/>
    </row>
    <row r="451" ht="14.25" customHeight="1">
      <c r="A451" s="1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6"/>
    </row>
    <row r="452" ht="14.25" customHeight="1">
      <c r="A452" s="1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6"/>
    </row>
    <row r="453" ht="14.25" customHeight="1">
      <c r="A453" s="1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6"/>
    </row>
    <row r="454" ht="14.25" customHeight="1">
      <c r="A454" s="1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6"/>
    </row>
    <row r="455" ht="14.25" customHeight="1">
      <c r="A455" s="1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6"/>
    </row>
    <row r="456" ht="14.25" customHeight="1">
      <c r="A456" s="1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6"/>
    </row>
    <row r="457" ht="14.25" customHeight="1">
      <c r="A457" s="1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6"/>
    </row>
    <row r="458" ht="14.25" customHeight="1">
      <c r="A458" s="1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6"/>
    </row>
    <row r="459" ht="14.25" customHeight="1">
      <c r="A459" s="1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6"/>
    </row>
    <row r="460" ht="14.25" customHeight="1">
      <c r="A460" s="1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6"/>
    </row>
    <row r="461" ht="14.25" customHeight="1">
      <c r="A461" s="1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6"/>
    </row>
    <row r="462" ht="14.25" customHeight="1">
      <c r="A462" s="1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6"/>
    </row>
    <row r="463" ht="14.25" customHeight="1">
      <c r="A463" s="1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6"/>
    </row>
    <row r="464" ht="14.25" customHeight="1">
      <c r="A464" s="1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6"/>
    </row>
    <row r="465" ht="14.25" customHeight="1">
      <c r="A465" s="1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6"/>
    </row>
    <row r="466" ht="14.25" customHeight="1">
      <c r="A466" s="1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6"/>
    </row>
    <row r="467" ht="14.25" customHeight="1">
      <c r="A467" s="1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6"/>
    </row>
    <row r="468" ht="14.25" customHeight="1">
      <c r="A468" s="1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6"/>
    </row>
    <row r="469" ht="14.25" customHeight="1">
      <c r="A469" s="1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6"/>
    </row>
    <row r="470" ht="14.25" customHeight="1">
      <c r="A470" s="1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6"/>
    </row>
    <row r="471" ht="14.25" customHeight="1">
      <c r="A471" s="1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6"/>
    </row>
    <row r="472" ht="14.25" customHeight="1">
      <c r="A472" s="1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6"/>
    </row>
    <row r="473" ht="14.25" customHeight="1">
      <c r="A473" s="1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6"/>
    </row>
    <row r="474" ht="14.25" customHeight="1">
      <c r="A474" s="1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6"/>
    </row>
    <row r="475" ht="14.25" customHeight="1">
      <c r="A475" s="1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6"/>
    </row>
    <row r="476" ht="14.25" customHeight="1">
      <c r="A476" s="1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6"/>
    </row>
    <row r="477" ht="14.25" customHeight="1">
      <c r="A477" s="1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6"/>
    </row>
    <row r="478" ht="14.25" customHeight="1">
      <c r="A478" s="1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6"/>
    </row>
    <row r="479" ht="14.25" customHeight="1">
      <c r="A479" s="1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6"/>
    </row>
    <row r="480" ht="14.25" customHeight="1">
      <c r="A480" s="1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6"/>
    </row>
    <row r="481" ht="14.25" customHeight="1">
      <c r="A481" s="1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6"/>
    </row>
    <row r="482" ht="14.25" customHeight="1">
      <c r="A482" s="1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6"/>
    </row>
    <row r="483" ht="14.25" customHeight="1">
      <c r="A483" s="1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6"/>
    </row>
    <row r="484" ht="14.25" customHeight="1">
      <c r="A484" s="1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6"/>
    </row>
    <row r="485" ht="14.25" customHeight="1">
      <c r="A485" s="1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6"/>
    </row>
    <row r="486" ht="14.25" customHeight="1">
      <c r="A486" s="1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6"/>
    </row>
    <row r="487" ht="14.25" customHeight="1">
      <c r="A487" s="1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6"/>
    </row>
    <row r="488" ht="14.25" customHeight="1">
      <c r="A488" s="1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6"/>
    </row>
    <row r="489" ht="14.25" customHeight="1">
      <c r="A489" s="1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6"/>
    </row>
    <row r="490" ht="14.25" customHeight="1">
      <c r="A490" s="1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6"/>
    </row>
    <row r="491" ht="14.25" customHeight="1">
      <c r="A491" s="1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6"/>
    </row>
    <row r="492" ht="14.25" customHeight="1">
      <c r="A492" s="1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6"/>
    </row>
    <row r="493" ht="14.25" customHeight="1">
      <c r="A493" s="1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6"/>
    </row>
    <row r="494" ht="14.25" customHeight="1">
      <c r="A494" s="1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6"/>
    </row>
    <row r="495" ht="14.25" customHeight="1">
      <c r="A495" s="1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6"/>
    </row>
    <row r="496" ht="14.25" customHeight="1">
      <c r="A496" s="1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6"/>
    </row>
    <row r="497" ht="14.25" customHeight="1">
      <c r="A497" s="1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6"/>
    </row>
    <row r="498" ht="14.25" customHeight="1">
      <c r="A498" s="1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6"/>
    </row>
    <row r="499" ht="14.25" customHeight="1">
      <c r="A499" s="1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6"/>
    </row>
    <row r="500" ht="14.25" customHeight="1">
      <c r="A500" s="1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6"/>
    </row>
    <row r="501" ht="14.25" customHeight="1">
      <c r="A501" s="1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6"/>
    </row>
    <row r="502" ht="14.25" customHeight="1">
      <c r="A502" s="1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6"/>
    </row>
    <row r="503" ht="14.25" customHeight="1">
      <c r="A503" s="1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6"/>
    </row>
    <row r="504" ht="14.25" customHeight="1">
      <c r="A504" s="1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6"/>
    </row>
    <row r="505" ht="14.25" customHeight="1">
      <c r="A505" s="1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6"/>
    </row>
    <row r="506" ht="14.25" customHeight="1">
      <c r="A506" s="1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6"/>
    </row>
    <row r="507" ht="14.25" customHeight="1">
      <c r="A507" s="1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6"/>
    </row>
    <row r="508" ht="14.25" customHeight="1">
      <c r="A508" s="1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6"/>
    </row>
    <row r="509" ht="14.25" customHeight="1">
      <c r="A509" s="1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6"/>
    </row>
    <row r="510" ht="14.25" customHeight="1">
      <c r="A510" s="1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6"/>
    </row>
    <row r="511" ht="14.25" customHeight="1">
      <c r="A511" s="1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6"/>
    </row>
    <row r="512" ht="14.25" customHeight="1">
      <c r="A512" s="1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6"/>
    </row>
    <row r="513" ht="14.25" customHeight="1">
      <c r="A513" s="1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6"/>
    </row>
    <row r="514" ht="14.25" customHeight="1">
      <c r="A514" s="1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6"/>
    </row>
    <row r="515" ht="14.25" customHeight="1">
      <c r="A515" s="1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6"/>
    </row>
    <row r="516" ht="14.25" customHeight="1">
      <c r="A516" s="1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6"/>
    </row>
    <row r="517" ht="14.25" customHeight="1">
      <c r="A517" s="1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6"/>
    </row>
    <row r="518" ht="14.25" customHeight="1">
      <c r="A518" s="1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6"/>
    </row>
    <row r="519" ht="14.25" customHeight="1">
      <c r="A519" s="1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6"/>
    </row>
    <row r="520" ht="14.25" customHeight="1">
      <c r="A520" s="1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6"/>
    </row>
    <row r="521" ht="14.25" customHeight="1">
      <c r="A521" s="1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6"/>
    </row>
    <row r="522" ht="14.25" customHeight="1">
      <c r="A522" s="1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6"/>
    </row>
    <row r="523" ht="14.25" customHeight="1">
      <c r="A523" s="1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6"/>
    </row>
    <row r="524" ht="14.25" customHeight="1">
      <c r="A524" s="1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6"/>
    </row>
    <row r="525" ht="14.25" customHeight="1">
      <c r="A525" s="1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6"/>
    </row>
    <row r="526" ht="14.25" customHeight="1">
      <c r="A526" s="1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6"/>
    </row>
    <row r="527" ht="14.25" customHeight="1">
      <c r="A527" s="1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6"/>
    </row>
    <row r="528" ht="14.25" customHeight="1">
      <c r="A528" s="1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6"/>
    </row>
    <row r="529" ht="14.25" customHeight="1">
      <c r="A529" s="1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6"/>
    </row>
    <row r="530" ht="14.25" customHeight="1">
      <c r="A530" s="1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6"/>
    </row>
    <row r="531" ht="14.25" customHeight="1">
      <c r="A531" s="1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6"/>
    </row>
    <row r="532" ht="14.25" customHeight="1">
      <c r="A532" s="1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6"/>
    </row>
    <row r="533" ht="14.25" customHeight="1">
      <c r="A533" s="1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6"/>
    </row>
    <row r="534" ht="14.25" customHeight="1">
      <c r="A534" s="1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6"/>
    </row>
    <row r="535" ht="14.25" customHeight="1">
      <c r="A535" s="1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6"/>
    </row>
    <row r="536" ht="14.25" customHeight="1">
      <c r="A536" s="1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6"/>
    </row>
    <row r="537" ht="14.25" customHeight="1">
      <c r="A537" s="1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6"/>
    </row>
    <row r="538" ht="14.25" customHeight="1">
      <c r="A538" s="1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6"/>
    </row>
    <row r="539" ht="14.25" customHeight="1">
      <c r="A539" s="1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6"/>
    </row>
    <row r="540" ht="14.25" customHeight="1">
      <c r="A540" s="1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6"/>
    </row>
    <row r="541" ht="14.25" customHeight="1">
      <c r="A541" s="1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6"/>
    </row>
    <row r="542" ht="14.25" customHeight="1">
      <c r="A542" s="1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6"/>
    </row>
    <row r="543" ht="14.25" customHeight="1">
      <c r="A543" s="1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6"/>
    </row>
    <row r="544" ht="14.25" customHeight="1">
      <c r="A544" s="1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6"/>
    </row>
    <row r="545" ht="14.25" customHeight="1">
      <c r="A545" s="1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6"/>
    </row>
    <row r="546" ht="14.25" customHeight="1">
      <c r="A546" s="1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6"/>
    </row>
    <row r="547" ht="14.25" customHeight="1">
      <c r="A547" s="1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6"/>
    </row>
    <row r="548" ht="14.25" customHeight="1">
      <c r="A548" s="1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6"/>
    </row>
    <row r="549" ht="14.25" customHeight="1">
      <c r="A549" s="1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6"/>
    </row>
    <row r="550" ht="14.25" customHeight="1">
      <c r="A550" s="1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6"/>
    </row>
    <row r="551" ht="14.25" customHeight="1">
      <c r="A551" s="1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6"/>
    </row>
    <row r="552" ht="14.25" customHeight="1">
      <c r="A552" s="1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6"/>
    </row>
    <row r="553" ht="14.25" customHeight="1">
      <c r="A553" s="1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6"/>
    </row>
    <row r="554" ht="14.25" customHeight="1">
      <c r="A554" s="1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6"/>
    </row>
    <row r="555" ht="14.25" customHeight="1">
      <c r="A555" s="1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6"/>
    </row>
    <row r="556" ht="14.25" customHeight="1">
      <c r="A556" s="1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6"/>
    </row>
    <row r="557" ht="14.25" customHeight="1">
      <c r="A557" s="1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6"/>
    </row>
    <row r="558" ht="14.25" customHeight="1">
      <c r="A558" s="1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6"/>
    </row>
    <row r="559" ht="14.25" customHeight="1">
      <c r="A559" s="1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6"/>
    </row>
    <row r="560" ht="14.25" customHeight="1">
      <c r="A560" s="1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6"/>
    </row>
    <row r="561" ht="14.25" customHeight="1">
      <c r="A561" s="1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6"/>
    </row>
    <row r="562" ht="14.25" customHeight="1">
      <c r="A562" s="1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6"/>
    </row>
    <row r="563" ht="14.25" customHeight="1">
      <c r="A563" s="1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6"/>
    </row>
    <row r="564" ht="14.25" customHeight="1">
      <c r="A564" s="1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6"/>
    </row>
    <row r="565" ht="14.25" customHeight="1">
      <c r="A565" s="1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6"/>
    </row>
    <row r="566" ht="14.25" customHeight="1">
      <c r="A566" s="1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6"/>
    </row>
    <row r="567" ht="14.25" customHeight="1">
      <c r="A567" s="1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6"/>
    </row>
    <row r="568" ht="14.25" customHeight="1">
      <c r="A568" s="1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6"/>
    </row>
    <row r="569" ht="14.25" customHeight="1">
      <c r="A569" s="1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6"/>
    </row>
    <row r="570" ht="14.25" customHeight="1">
      <c r="A570" s="1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6"/>
    </row>
    <row r="571" ht="14.25" customHeight="1">
      <c r="A571" s="1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6"/>
    </row>
    <row r="572" ht="14.25" customHeight="1">
      <c r="A572" s="1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6"/>
    </row>
    <row r="573" ht="14.25" customHeight="1">
      <c r="A573" s="1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6"/>
    </row>
    <row r="574" ht="14.25" customHeight="1">
      <c r="A574" s="1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6"/>
    </row>
    <row r="575" ht="14.25" customHeight="1">
      <c r="A575" s="1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6"/>
    </row>
    <row r="576" ht="14.25" customHeight="1">
      <c r="A576" s="1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6"/>
    </row>
    <row r="577" ht="14.25" customHeight="1">
      <c r="A577" s="1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6"/>
    </row>
    <row r="578" ht="14.25" customHeight="1">
      <c r="A578" s="1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6"/>
    </row>
    <row r="579" ht="14.25" customHeight="1">
      <c r="A579" s="1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6"/>
    </row>
    <row r="580" ht="14.25" customHeight="1">
      <c r="A580" s="1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6"/>
    </row>
    <row r="581" ht="14.25" customHeight="1">
      <c r="A581" s="1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6"/>
    </row>
    <row r="582" ht="14.25" customHeight="1">
      <c r="A582" s="1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6"/>
    </row>
    <row r="583" ht="14.25" customHeight="1">
      <c r="A583" s="1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6"/>
    </row>
    <row r="584" ht="14.25" customHeight="1">
      <c r="A584" s="1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6"/>
    </row>
    <row r="585" ht="14.25" customHeight="1">
      <c r="A585" s="1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6"/>
    </row>
    <row r="586" ht="14.25" customHeight="1">
      <c r="A586" s="1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6"/>
    </row>
    <row r="587" ht="14.25" customHeight="1">
      <c r="A587" s="1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6"/>
    </row>
    <row r="588" ht="14.25" customHeight="1">
      <c r="A588" s="1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6"/>
    </row>
    <row r="589" ht="14.25" customHeight="1">
      <c r="A589" s="1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6"/>
    </row>
    <row r="590" ht="14.25" customHeight="1">
      <c r="A590" s="1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6"/>
    </row>
    <row r="591" ht="14.25" customHeight="1">
      <c r="A591" s="1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6"/>
    </row>
    <row r="592" ht="14.25" customHeight="1">
      <c r="A592" s="1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6"/>
    </row>
    <row r="593" ht="14.25" customHeight="1">
      <c r="A593" s="1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6"/>
    </row>
    <row r="594" ht="14.25" customHeight="1">
      <c r="A594" s="1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6"/>
    </row>
    <row r="595" ht="14.25" customHeight="1">
      <c r="A595" s="1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6"/>
    </row>
    <row r="596" ht="14.25" customHeight="1">
      <c r="A596" s="1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6"/>
    </row>
    <row r="597" ht="14.25" customHeight="1">
      <c r="A597" s="1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6"/>
    </row>
    <row r="598" ht="14.25" customHeight="1">
      <c r="A598" s="1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6"/>
    </row>
    <row r="599" ht="14.25" customHeight="1">
      <c r="A599" s="1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6"/>
    </row>
    <row r="600" ht="14.25" customHeight="1">
      <c r="A600" s="1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6"/>
    </row>
    <row r="601" ht="14.25" customHeight="1">
      <c r="A601" s="1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6"/>
    </row>
    <row r="602" ht="14.25" customHeight="1">
      <c r="A602" s="1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6"/>
    </row>
    <row r="603" ht="14.25" customHeight="1">
      <c r="A603" s="1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6"/>
    </row>
    <row r="604" ht="14.25" customHeight="1">
      <c r="A604" s="1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6"/>
    </row>
    <row r="605" ht="14.25" customHeight="1">
      <c r="A605" s="1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6"/>
    </row>
    <row r="606" ht="14.25" customHeight="1">
      <c r="A606" s="1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6"/>
    </row>
    <row r="607" ht="14.25" customHeight="1">
      <c r="A607" s="1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6"/>
    </row>
    <row r="608" ht="14.25" customHeight="1">
      <c r="A608" s="1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6"/>
    </row>
    <row r="609" ht="14.25" customHeight="1">
      <c r="A609" s="1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6"/>
    </row>
    <row r="610" ht="14.25" customHeight="1">
      <c r="A610" s="1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6"/>
    </row>
    <row r="611" ht="14.25" customHeight="1">
      <c r="A611" s="1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6"/>
    </row>
    <row r="612" ht="14.25" customHeight="1">
      <c r="A612" s="1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6"/>
    </row>
    <row r="613" ht="14.25" customHeight="1">
      <c r="A613" s="1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6"/>
    </row>
    <row r="614" ht="14.25" customHeight="1">
      <c r="A614" s="1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6"/>
    </row>
    <row r="615" ht="14.25" customHeight="1">
      <c r="A615" s="1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6"/>
    </row>
    <row r="616" ht="14.25" customHeight="1">
      <c r="A616" s="1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6"/>
    </row>
    <row r="617" ht="14.25" customHeight="1">
      <c r="A617" s="1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6"/>
    </row>
    <row r="618" ht="14.25" customHeight="1">
      <c r="A618" s="1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6"/>
    </row>
    <row r="619" ht="14.25" customHeight="1">
      <c r="A619" s="1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6"/>
    </row>
    <row r="620" ht="14.25" customHeight="1">
      <c r="A620" s="1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6"/>
    </row>
    <row r="621" ht="14.25" customHeight="1">
      <c r="A621" s="1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6"/>
    </row>
    <row r="622" ht="14.25" customHeight="1">
      <c r="A622" s="1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6"/>
    </row>
    <row r="623" ht="14.25" customHeight="1">
      <c r="A623" s="1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6"/>
    </row>
    <row r="624" ht="14.25" customHeight="1">
      <c r="A624" s="1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6"/>
    </row>
    <row r="625" ht="14.25" customHeight="1">
      <c r="A625" s="1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6"/>
    </row>
    <row r="626" ht="14.25" customHeight="1">
      <c r="A626" s="1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6"/>
    </row>
    <row r="627" ht="14.25" customHeight="1">
      <c r="A627" s="1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6"/>
    </row>
    <row r="628" ht="14.25" customHeight="1">
      <c r="A628" s="1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6"/>
    </row>
    <row r="629" ht="14.25" customHeight="1">
      <c r="A629" s="1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6"/>
    </row>
    <row r="630" ht="14.25" customHeight="1">
      <c r="A630" s="1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6"/>
    </row>
    <row r="631" ht="14.25" customHeight="1">
      <c r="A631" s="1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6"/>
    </row>
    <row r="632" ht="14.25" customHeight="1">
      <c r="A632" s="1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6"/>
    </row>
    <row r="633" ht="14.25" customHeight="1">
      <c r="A633" s="1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6"/>
    </row>
    <row r="634" ht="14.25" customHeight="1">
      <c r="A634" s="1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6"/>
    </row>
    <row r="635" ht="14.25" customHeight="1">
      <c r="A635" s="1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6"/>
    </row>
    <row r="636" ht="14.25" customHeight="1">
      <c r="A636" s="1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6"/>
    </row>
    <row r="637" ht="14.25" customHeight="1">
      <c r="A637" s="1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6"/>
    </row>
    <row r="638" ht="14.25" customHeight="1">
      <c r="A638" s="1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6"/>
    </row>
    <row r="639" ht="14.25" customHeight="1">
      <c r="A639" s="1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6"/>
    </row>
    <row r="640" ht="14.25" customHeight="1">
      <c r="A640" s="1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6"/>
    </row>
    <row r="641" ht="14.25" customHeight="1">
      <c r="A641" s="1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6"/>
    </row>
    <row r="642" ht="14.25" customHeight="1">
      <c r="A642" s="1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6"/>
    </row>
    <row r="643" ht="14.25" customHeight="1">
      <c r="A643" s="1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6"/>
    </row>
    <row r="644" ht="14.25" customHeight="1">
      <c r="A644" s="1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6"/>
    </row>
    <row r="645" ht="14.25" customHeight="1">
      <c r="A645" s="1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6"/>
    </row>
    <row r="646" ht="14.25" customHeight="1">
      <c r="A646" s="1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6"/>
    </row>
    <row r="647" ht="14.25" customHeight="1">
      <c r="A647" s="1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6"/>
    </row>
    <row r="648" ht="14.25" customHeight="1">
      <c r="A648" s="1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6"/>
    </row>
    <row r="649" ht="14.25" customHeight="1">
      <c r="A649" s="1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6"/>
    </row>
    <row r="650" ht="14.25" customHeight="1">
      <c r="A650" s="1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6"/>
    </row>
    <row r="651" ht="14.25" customHeight="1">
      <c r="A651" s="1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6"/>
    </row>
    <row r="652" ht="14.25" customHeight="1">
      <c r="A652" s="1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6"/>
    </row>
    <row r="653" ht="14.25" customHeight="1">
      <c r="A653" s="1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6"/>
    </row>
    <row r="654" ht="14.25" customHeight="1">
      <c r="A654" s="1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6"/>
    </row>
    <row r="655" ht="14.25" customHeight="1">
      <c r="A655" s="1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6"/>
    </row>
    <row r="656" ht="14.25" customHeight="1">
      <c r="A656" s="1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6"/>
    </row>
    <row r="657" ht="14.25" customHeight="1">
      <c r="A657" s="1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6"/>
    </row>
    <row r="658" ht="14.25" customHeight="1">
      <c r="A658" s="1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6"/>
    </row>
    <row r="659" ht="14.25" customHeight="1">
      <c r="A659" s="1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6"/>
    </row>
    <row r="660" ht="14.25" customHeight="1">
      <c r="A660" s="1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6"/>
    </row>
    <row r="661" ht="14.25" customHeight="1">
      <c r="A661" s="1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6"/>
    </row>
    <row r="662" ht="14.25" customHeight="1">
      <c r="A662" s="1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6"/>
    </row>
    <row r="663" ht="14.25" customHeight="1">
      <c r="A663" s="1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6"/>
    </row>
    <row r="664" ht="14.25" customHeight="1">
      <c r="A664" s="1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6"/>
    </row>
    <row r="665" ht="14.25" customHeight="1">
      <c r="A665" s="1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6"/>
    </row>
    <row r="666" ht="14.25" customHeight="1">
      <c r="A666" s="1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6"/>
    </row>
    <row r="667" ht="14.25" customHeight="1">
      <c r="A667" s="1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6"/>
    </row>
    <row r="668" ht="14.25" customHeight="1">
      <c r="A668" s="1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6"/>
    </row>
    <row r="669" ht="14.25" customHeight="1">
      <c r="A669" s="1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6"/>
    </row>
    <row r="670" ht="14.25" customHeight="1">
      <c r="A670" s="1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6"/>
    </row>
    <row r="671" ht="14.25" customHeight="1">
      <c r="A671" s="1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6"/>
    </row>
    <row r="672" ht="14.25" customHeight="1">
      <c r="A672" s="1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6"/>
    </row>
    <row r="673" ht="14.25" customHeight="1">
      <c r="A673" s="1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6"/>
    </row>
    <row r="674" ht="14.25" customHeight="1">
      <c r="A674" s="1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6"/>
    </row>
    <row r="675" ht="14.25" customHeight="1">
      <c r="A675" s="1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6"/>
    </row>
    <row r="676" ht="14.25" customHeight="1">
      <c r="A676" s="1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6"/>
    </row>
    <row r="677" ht="14.25" customHeight="1">
      <c r="A677" s="1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6"/>
    </row>
    <row r="678" ht="14.25" customHeight="1">
      <c r="A678" s="1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6"/>
    </row>
    <row r="679" ht="14.25" customHeight="1">
      <c r="A679" s="1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6"/>
    </row>
    <row r="680" ht="14.25" customHeight="1">
      <c r="A680" s="1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6"/>
    </row>
    <row r="681" ht="14.25" customHeight="1">
      <c r="A681" s="1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6"/>
    </row>
    <row r="682" ht="14.25" customHeight="1">
      <c r="A682" s="1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6"/>
    </row>
    <row r="683" ht="14.25" customHeight="1">
      <c r="A683" s="1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6"/>
    </row>
    <row r="684" ht="14.25" customHeight="1">
      <c r="A684" s="1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6"/>
    </row>
    <row r="685" ht="14.25" customHeight="1">
      <c r="A685" s="1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6"/>
    </row>
    <row r="686" ht="14.25" customHeight="1">
      <c r="A686" s="1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6"/>
    </row>
    <row r="687" ht="14.25" customHeight="1">
      <c r="A687" s="1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6"/>
    </row>
    <row r="688" ht="14.25" customHeight="1">
      <c r="A688" s="1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6"/>
    </row>
    <row r="689" ht="14.25" customHeight="1">
      <c r="A689" s="1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6"/>
    </row>
    <row r="690" ht="14.25" customHeight="1">
      <c r="A690" s="1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6"/>
    </row>
    <row r="691" ht="14.25" customHeight="1">
      <c r="A691" s="1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6"/>
    </row>
    <row r="692" ht="14.25" customHeight="1">
      <c r="A692" s="1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6"/>
    </row>
    <row r="693" ht="14.25" customHeight="1">
      <c r="A693" s="1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6"/>
    </row>
    <row r="694" ht="14.25" customHeight="1">
      <c r="A694" s="1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6"/>
    </row>
    <row r="695" ht="14.25" customHeight="1">
      <c r="A695" s="1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6"/>
    </row>
    <row r="696" ht="14.25" customHeight="1">
      <c r="A696" s="1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6"/>
    </row>
    <row r="697" ht="14.25" customHeight="1">
      <c r="A697" s="1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6"/>
    </row>
    <row r="698" ht="14.25" customHeight="1">
      <c r="A698" s="1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6"/>
    </row>
    <row r="699" ht="14.25" customHeight="1">
      <c r="A699" s="1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6"/>
    </row>
    <row r="700" ht="14.25" customHeight="1">
      <c r="A700" s="1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6"/>
    </row>
    <row r="701" ht="14.25" customHeight="1">
      <c r="A701" s="1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6"/>
    </row>
    <row r="702" ht="14.25" customHeight="1">
      <c r="A702" s="1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6"/>
    </row>
    <row r="703" ht="14.25" customHeight="1">
      <c r="A703" s="1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6"/>
    </row>
    <row r="704" ht="14.25" customHeight="1">
      <c r="A704" s="1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6"/>
    </row>
    <row r="705" ht="14.25" customHeight="1">
      <c r="A705" s="1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6"/>
    </row>
    <row r="706" ht="14.25" customHeight="1">
      <c r="A706" s="1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6"/>
    </row>
    <row r="707" ht="14.25" customHeight="1">
      <c r="A707" s="1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6"/>
    </row>
    <row r="708" ht="14.25" customHeight="1">
      <c r="A708" s="1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6"/>
    </row>
    <row r="709" ht="14.25" customHeight="1">
      <c r="A709" s="1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6"/>
    </row>
    <row r="710" ht="14.25" customHeight="1">
      <c r="A710" s="1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6"/>
    </row>
    <row r="711" ht="14.25" customHeight="1">
      <c r="A711" s="1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6"/>
    </row>
    <row r="712" ht="14.25" customHeight="1">
      <c r="A712" s="1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6"/>
    </row>
    <row r="713" ht="14.25" customHeight="1">
      <c r="A713" s="1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6"/>
    </row>
    <row r="714" ht="14.25" customHeight="1">
      <c r="A714" s="1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6"/>
    </row>
    <row r="715" ht="14.25" customHeight="1">
      <c r="A715" s="1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6"/>
    </row>
    <row r="716" ht="14.25" customHeight="1">
      <c r="A716" s="1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6"/>
    </row>
    <row r="717" ht="14.25" customHeight="1">
      <c r="A717" s="1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6"/>
    </row>
    <row r="718" ht="14.25" customHeight="1">
      <c r="A718" s="1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6"/>
    </row>
    <row r="719" ht="14.25" customHeight="1">
      <c r="A719" s="1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6"/>
    </row>
    <row r="720" ht="14.25" customHeight="1">
      <c r="A720" s="1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6"/>
    </row>
    <row r="721" ht="14.25" customHeight="1">
      <c r="A721" s="1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6"/>
    </row>
    <row r="722" ht="14.25" customHeight="1">
      <c r="A722" s="1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6"/>
    </row>
    <row r="723" ht="14.25" customHeight="1">
      <c r="A723" s="1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6"/>
    </row>
    <row r="724" ht="14.25" customHeight="1">
      <c r="A724" s="1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6"/>
    </row>
    <row r="725" ht="14.25" customHeight="1">
      <c r="A725" s="1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6"/>
    </row>
    <row r="726" ht="14.25" customHeight="1">
      <c r="A726" s="1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6"/>
    </row>
    <row r="727" ht="14.25" customHeight="1">
      <c r="A727" s="1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6"/>
    </row>
    <row r="728" ht="14.25" customHeight="1">
      <c r="A728" s="1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6"/>
    </row>
    <row r="729" ht="14.25" customHeight="1">
      <c r="A729" s="1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6"/>
    </row>
    <row r="730" ht="14.25" customHeight="1">
      <c r="A730" s="1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6"/>
    </row>
    <row r="731" ht="14.25" customHeight="1">
      <c r="A731" s="1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6"/>
    </row>
    <row r="732" ht="14.25" customHeight="1">
      <c r="A732" s="1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6"/>
    </row>
    <row r="733" ht="14.25" customHeight="1">
      <c r="A733" s="1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6"/>
    </row>
    <row r="734" ht="14.25" customHeight="1">
      <c r="A734" s="1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6"/>
    </row>
    <row r="735" ht="14.25" customHeight="1">
      <c r="A735" s="1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6"/>
    </row>
    <row r="736" ht="14.25" customHeight="1">
      <c r="A736" s="1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6"/>
    </row>
    <row r="737" ht="14.25" customHeight="1">
      <c r="A737" s="1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6"/>
    </row>
    <row r="738" ht="14.25" customHeight="1">
      <c r="A738" s="1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6"/>
    </row>
    <row r="739" ht="14.25" customHeight="1">
      <c r="A739" s="1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6"/>
    </row>
    <row r="740" ht="14.25" customHeight="1">
      <c r="A740" s="1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6"/>
    </row>
    <row r="741" ht="14.25" customHeight="1">
      <c r="A741" s="1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6"/>
    </row>
    <row r="742" ht="14.25" customHeight="1">
      <c r="A742" s="1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6"/>
    </row>
    <row r="743" ht="14.25" customHeight="1">
      <c r="A743" s="1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6"/>
    </row>
    <row r="744" ht="14.25" customHeight="1">
      <c r="A744" s="1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6"/>
    </row>
    <row r="745" ht="14.25" customHeight="1">
      <c r="A745" s="1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6"/>
    </row>
    <row r="746" ht="14.25" customHeight="1">
      <c r="A746" s="1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6"/>
    </row>
    <row r="747" ht="14.25" customHeight="1">
      <c r="A747" s="1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6"/>
    </row>
    <row r="748" ht="14.25" customHeight="1">
      <c r="A748" s="1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6"/>
    </row>
    <row r="749" ht="14.25" customHeight="1">
      <c r="A749" s="1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6"/>
    </row>
    <row r="750" ht="14.25" customHeight="1">
      <c r="A750" s="1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6"/>
    </row>
    <row r="751" ht="14.25" customHeight="1">
      <c r="A751" s="1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6"/>
    </row>
    <row r="752" ht="14.25" customHeight="1">
      <c r="A752" s="1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6"/>
    </row>
    <row r="753" ht="14.25" customHeight="1">
      <c r="A753" s="1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6"/>
    </row>
    <row r="754" ht="14.25" customHeight="1">
      <c r="A754" s="1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6"/>
    </row>
    <row r="755" ht="14.25" customHeight="1">
      <c r="A755" s="1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6"/>
    </row>
    <row r="756" ht="14.25" customHeight="1">
      <c r="A756" s="1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6"/>
    </row>
    <row r="757" ht="14.25" customHeight="1">
      <c r="A757" s="1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6"/>
    </row>
    <row r="758" ht="14.25" customHeight="1">
      <c r="A758" s="1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6"/>
    </row>
    <row r="759" ht="14.25" customHeight="1">
      <c r="A759" s="1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6"/>
    </row>
    <row r="760" ht="14.25" customHeight="1">
      <c r="A760" s="1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6"/>
    </row>
    <row r="761" ht="14.25" customHeight="1">
      <c r="A761" s="1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6"/>
    </row>
    <row r="762" ht="14.25" customHeight="1">
      <c r="A762" s="1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6"/>
    </row>
    <row r="763" ht="14.25" customHeight="1">
      <c r="A763" s="1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6"/>
    </row>
    <row r="764" ht="14.25" customHeight="1">
      <c r="A764" s="1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6"/>
    </row>
    <row r="765" ht="14.25" customHeight="1">
      <c r="A765" s="1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6"/>
    </row>
    <row r="766" ht="14.25" customHeight="1">
      <c r="A766" s="1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6"/>
    </row>
    <row r="767" ht="14.25" customHeight="1">
      <c r="A767" s="1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6"/>
    </row>
    <row r="768" ht="14.25" customHeight="1">
      <c r="A768" s="1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6"/>
    </row>
    <row r="769" ht="14.25" customHeight="1">
      <c r="A769" s="1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6"/>
    </row>
    <row r="770" ht="14.25" customHeight="1">
      <c r="A770" s="1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6"/>
    </row>
    <row r="771" ht="14.25" customHeight="1">
      <c r="A771" s="1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6"/>
    </row>
    <row r="772" ht="14.25" customHeight="1">
      <c r="A772" s="1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6"/>
    </row>
    <row r="773" ht="14.25" customHeight="1">
      <c r="A773" s="1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6"/>
    </row>
    <row r="774" ht="14.25" customHeight="1">
      <c r="A774" s="1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6"/>
    </row>
    <row r="775" ht="14.25" customHeight="1">
      <c r="A775" s="1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6"/>
    </row>
    <row r="776" ht="14.25" customHeight="1">
      <c r="A776" s="1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6"/>
    </row>
    <row r="777" ht="14.25" customHeight="1">
      <c r="A777" s="1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6"/>
    </row>
    <row r="778" ht="14.25" customHeight="1">
      <c r="A778" s="1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6"/>
    </row>
    <row r="779" ht="14.25" customHeight="1">
      <c r="A779" s="1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6"/>
    </row>
    <row r="780" ht="14.25" customHeight="1">
      <c r="A780" s="1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6"/>
    </row>
    <row r="781" ht="14.25" customHeight="1">
      <c r="A781" s="1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6"/>
    </row>
    <row r="782" ht="14.25" customHeight="1">
      <c r="A782" s="1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6"/>
    </row>
    <row r="783" ht="14.25" customHeight="1">
      <c r="A783" s="1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6"/>
    </row>
    <row r="784" ht="14.25" customHeight="1">
      <c r="A784" s="1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6"/>
    </row>
    <row r="785" ht="14.25" customHeight="1">
      <c r="A785" s="1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6"/>
    </row>
    <row r="786" ht="14.25" customHeight="1">
      <c r="A786" s="1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6"/>
    </row>
    <row r="787" ht="14.25" customHeight="1">
      <c r="A787" s="1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6"/>
    </row>
    <row r="788" ht="14.25" customHeight="1">
      <c r="A788" s="1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6"/>
    </row>
    <row r="789" ht="14.25" customHeight="1">
      <c r="A789" s="1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6"/>
    </row>
    <row r="790" ht="14.25" customHeight="1">
      <c r="A790" s="1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6"/>
    </row>
    <row r="791" ht="14.25" customHeight="1">
      <c r="A791" s="1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6"/>
    </row>
    <row r="792" ht="14.25" customHeight="1">
      <c r="A792" s="1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6"/>
    </row>
    <row r="793" ht="14.25" customHeight="1">
      <c r="A793" s="1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6"/>
    </row>
    <row r="794" ht="14.25" customHeight="1">
      <c r="A794" s="1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6"/>
    </row>
    <row r="795" ht="14.25" customHeight="1">
      <c r="A795" s="1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6"/>
    </row>
    <row r="796" ht="14.25" customHeight="1">
      <c r="A796" s="1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6"/>
    </row>
    <row r="797" ht="14.25" customHeight="1">
      <c r="A797" s="1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6"/>
    </row>
    <row r="798" ht="14.25" customHeight="1">
      <c r="A798" s="1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6"/>
    </row>
    <row r="799" ht="14.25" customHeight="1">
      <c r="A799" s="1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6"/>
    </row>
    <row r="800" ht="14.25" customHeight="1">
      <c r="A800" s="1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6"/>
    </row>
    <row r="801" ht="14.25" customHeight="1">
      <c r="A801" s="1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6"/>
    </row>
    <row r="802" ht="14.25" customHeight="1">
      <c r="A802" s="1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6"/>
    </row>
    <row r="803" ht="14.25" customHeight="1">
      <c r="A803" s="1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6"/>
    </row>
    <row r="804" ht="14.25" customHeight="1">
      <c r="A804" s="1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6"/>
    </row>
    <row r="805" ht="14.25" customHeight="1">
      <c r="A805" s="1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6"/>
    </row>
    <row r="806" ht="14.25" customHeight="1">
      <c r="A806" s="1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6"/>
    </row>
    <row r="807" ht="14.25" customHeight="1">
      <c r="A807" s="1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6"/>
    </row>
    <row r="808" ht="14.25" customHeight="1">
      <c r="A808" s="1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6"/>
    </row>
    <row r="809" ht="14.25" customHeight="1">
      <c r="A809" s="1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6"/>
    </row>
    <row r="810" ht="14.25" customHeight="1">
      <c r="A810" s="1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6"/>
    </row>
    <row r="811" ht="14.25" customHeight="1">
      <c r="A811" s="1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6"/>
    </row>
    <row r="812" ht="14.25" customHeight="1">
      <c r="A812" s="1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6"/>
    </row>
    <row r="813" ht="14.25" customHeight="1">
      <c r="A813" s="1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6"/>
    </row>
    <row r="814" ht="14.25" customHeight="1">
      <c r="A814" s="1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6"/>
    </row>
    <row r="815" ht="14.25" customHeight="1">
      <c r="A815" s="1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6"/>
    </row>
    <row r="816" ht="14.25" customHeight="1">
      <c r="A816" s="1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6"/>
    </row>
    <row r="817" ht="14.25" customHeight="1">
      <c r="A817" s="1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6"/>
    </row>
    <row r="818" ht="14.25" customHeight="1">
      <c r="A818" s="1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6"/>
    </row>
    <row r="819" ht="14.25" customHeight="1">
      <c r="A819" s="1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6"/>
    </row>
    <row r="820" ht="14.25" customHeight="1">
      <c r="A820" s="1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6"/>
    </row>
    <row r="821" ht="14.25" customHeight="1">
      <c r="A821" s="1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6"/>
    </row>
    <row r="822" ht="14.25" customHeight="1">
      <c r="A822" s="1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6"/>
    </row>
    <row r="823" ht="14.25" customHeight="1">
      <c r="A823" s="1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6"/>
    </row>
    <row r="824" ht="14.25" customHeight="1">
      <c r="A824" s="1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6"/>
    </row>
    <row r="825" ht="14.25" customHeight="1">
      <c r="A825" s="1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6"/>
    </row>
    <row r="826" ht="14.25" customHeight="1">
      <c r="A826" s="1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6"/>
    </row>
    <row r="827" ht="14.25" customHeight="1">
      <c r="A827" s="1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6"/>
    </row>
    <row r="828" ht="14.25" customHeight="1">
      <c r="A828" s="1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6"/>
    </row>
    <row r="829" ht="14.25" customHeight="1">
      <c r="A829" s="1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6"/>
    </row>
    <row r="830" ht="14.25" customHeight="1">
      <c r="A830" s="1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6"/>
    </row>
    <row r="831" ht="14.25" customHeight="1">
      <c r="A831" s="1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6"/>
    </row>
    <row r="832" ht="14.25" customHeight="1">
      <c r="A832" s="1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6"/>
    </row>
    <row r="833" ht="14.25" customHeight="1">
      <c r="A833" s="1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6"/>
    </row>
    <row r="834" ht="14.25" customHeight="1">
      <c r="A834" s="1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6"/>
    </row>
    <row r="835" ht="14.25" customHeight="1">
      <c r="A835" s="1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6"/>
    </row>
    <row r="836" ht="14.25" customHeight="1">
      <c r="A836" s="1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6"/>
    </row>
    <row r="837" ht="14.25" customHeight="1">
      <c r="A837" s="1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6"/>
    </row>
    <row r="838" ht="14.25" customHeight="1">
      <c r="A838" s="1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6"/>
    </row>
    <row r="839" ht="14.25" customHeight="1">
      <c r="A839" s="1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6"/>
    </row>
    <row r="840" ht="14.25" customHeight="1">
      <c r="A840" s="1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6"/>
    </row>
    <row r="841" ht="14.25" customHeight="1">
      <c r="A841" s="1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6"/>
    </row>
    <row r="842" ht="14.25" customHeight="1">
      <c r="A842" s="1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6"/>
    </row>
    <row r="843" ht="14.25" customHeight="1">
      <c r="A843" s="1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6"/>
    </row>
    <row r="844" ht="14.25" customHeight="1">
      <c r="A844" s="1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6"/>
    </row>
    <row r="845" ht="14.25" customHeight="1">
      <c r="A845" s="1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6"/>
    </row>
    <row r="846" ht="14.25" customHeight="1">
      <c r="A846" s="1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6"/>
    </row>
    <row r="847" ht="14.25" customHeight="1">
      <c r="A847" s="1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6"/>
    </row>
    <row r="848" ht="14.25" customHeight="1">
      <c r="A848" s="1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6"/>
    </row>
    <row r="849" ht="14.25" customHeight="1">
      <c r="A849" s="1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6"/>
    </row>
    <row r="850" ht="14.25" customHeight="1">
      <c r="A850" s="1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6"/>
    </row>
    <row r="851" ht="14.25" customHeight="1">
      <c r="A851" s="1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6"/>
    </row>
    <row r="852" ht="14.25" customHeight="1">
      <c r="A852" s="1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6"/>
    </row>
    <row r="853" ht="14.25" customHeight="1">
      <c r="A853" s="1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6"/>
    </row>
    <row r="854" ht="14.25" customHeight="1">
      <c r="A854" s="1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6"/>
    </row>
    <row r="855" ht="14.25" customHeight="1">
      <c r="A855" s="1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6"/>
    </row>
    <row r="856" ht="14.25" customHeight="1">
      <c r="A856" s="1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6"/>
    </row>
    <row r="857" ht="14.25" customHeight="1">
      <c r="A857" s="1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6"/>
    </row>
    <row r="858" ht="14.25" customHeight="1">
      <c r="A858" s="1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6"/>
    </row>
    <row r="859" ht="14.25" customHeight="1">
      <c r="A859" s="1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6"/>
    </row>
    <row r="860" ht="14.25" customHeight="1">
      <c r="A860" s="1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6"/>
    </row>
    <row r="861" ht="14.25" customHeight="1">
      <c r="A861" s="1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6"/>
    </row>
    <row r="862" ht="14.25" customHeight="1">
      <c r="A862" s="1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6"/>
    </row>
    <row r="863" ht="14.25" customHeight="1">
      <c r="A863" s="1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6"/>
    </row>
    <row r="864" ht="14.25" customHeight="1">
      <c r="A864" s="1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6"/>
    </row>
    <row r="865" ht="14.25" customHeight="1">
      <c r="A865" s="1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6"/>
    </row>
    <row r="866" ht="14.25" customHeight="1">
      <c r="A866" s="1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6"/>
    </row>
    <row r="867" ht="14.25" customHeight="1">
      <c r="A867" s="1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6"/>
    </row>
    <row r="868" ht="14.25" customHeight="1">
      <c r="A868" s="1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6"/>
    </row>
    <row r="869" ht="14.25" customHeight="1">
      <c r="A869" s="1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6"/>
    </row>
    <row r="870" ht="14.25" customHeight="1">
      <c r="A870" s="1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6"/>
    </row>
    <row r="871" ht="14.25" customHeight="1">
      <c r="A871" s="1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6"/>
    </row>
    <row r="872" ht="14.25" customHeight="1">
      <c r="A872" s="1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6"/>
    </row>
    <row r="873" ht="14.25" customHeight="1">
      <c r="A873" s="1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6"/>
    </row>
    <row r="874" ht="14.25" customHeight="1">
      <c r="A874" s="1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6"/>
    </row>
    <row r="875" ht="14.25" customHeight="1">
      <c r="A875" s="1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6"/>
    </row>
    <row r="876" ht="14.25" customHeight="1">
      <c r="A876" s="1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6"/>
    </row>
    <row r="877" ht="14.25" customHeight="1">
      <c r="A877" s="1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6"/>
    </row>
    <row r="878" ht="14.25" customHeight="1">
      <c r="A878" s="1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6"/>
    </row>
    <row r="879" ht="14.25" customHeight="1">
      <c r="A879" s="1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6"/>
    </row>
    <row r="880" ht="14.25" customHeight="1">
      <c r="A880" s="1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6"/>
    </row>
    <row r="881" ht="14.25" customHeight="1">
      <c r="A881" s="1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6"/>
    </row>
    <row r="882" ht="14.25" customHeight="1">
      <c r="A882" s="1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6"/>
    </row>
    <row r="883" ht="14.25" customHeight="1">
      <c r="A883" s="1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6"/>
    </row>
    <row r="884" ht="14.25" customHeight="1">
      <c r="A884" s="1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6"/>
    </row>
    <row r="885" ht="14.25" customHeight="1">
      <c r="A885" s="1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6"/>
    </row>
    <row r="886" ht="14.25" customHeight="1">
      <c r="A886" s="1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6"/>
    </row>
    <row r="887" ht="14.25" customHeight="1">
      <c r="A887" s="1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6"/>
    </row>
    <row r="888" ht="14.25" customHeight="1">
      <c r="A888" s="1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6"/>
    </row>
    <row r="889" ht="14.25" customHeight="1">
      <c r="A889" s="1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6"/>
    </row>
    <row r="890" ht="14.25" customHeight="1">
      <c r="A890" s="1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6"/>
    </row>
    <row r="891" ht="14.25" customHeight="1">
      <c r="A891" s="1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6"/>
    </row>
    <row r="892" ht="14.25" customHeight="1">
      <c r="A892" s="1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6"/>
    </row>
    <row r="893" ht="14.25" customHeight="1">
      <c r="A893" s="1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6"/>
    </row>
    <row r="894" ht="14.25" customHeight="1">
      <c r="A894" s="1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6"/>
    </row>
    <row r="895" ht="14.25" customHeight="1">
      <c r="A895" s="1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6"/>
    </row>
    <row r="896" ht="14.25" customHeight="1">
      <c r="A896" s="1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6"/>
    </row>
    <row r="897" ht="14.25" customHeight="1">
      <c r="A897" s="1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6"/>
    </row>
    <row r="898" ht="14.25" customHeight="1">
      <c r="A898" s="1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6"/>
    </row>
    <row r="899" ht="14.25" customHeight="1">
      <c r="A899" s="1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6"/>
    </row>
    <row r="900" ht="14.25" customHeight="1">
      <c r="A900" s="1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6"/>
    </row>
    <row r="901" ht="14.25" customHeight="1">
      <c r="A901" s="1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6"/>
    </row>
    <row r="902" ht="14.25" customHeight="1">
      <c r="A902" s="1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6"/>
    </row>
    <row r="903" ht="14.25" customHeight="1">
      <c r="A903" s="1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6"/>
    </row>
    <row r="904" ht="14.25" customHeight="1">
      <c r="A904" s="1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6"/>
    </row>
    <row r="905" ht="14.25" customHeight="1">
      <c r="A905" s="1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6"/>
    </row>
    <row r="906" ht="14.25" customHeight="1">
      <c r="A906" s="1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6"/>
    </row>
    <row r="907" ht="14.25" customHeight="1">
      <c r="A907" s="1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6"/>
    </row>
    <row r="908" ht="14.25" customHeight="1">
      <c r="A908" s="1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6"/>
    </row>
    <row r="909" ht="14.25" customHeight="1">
      <c r="A909" s="1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6"/>
    </row>
    <row r="910" ht="14.25" customHeight="1">
      <c r="A910" s="1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6"/>
    </row>
    <row r="911" ht="14.25" customHeight="1">
      <c r="A911" s="1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6"/>
    </row>
    <row r="912" ht="14.25" customHeight="1">
      <c r="A912" s="1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6"/>
    </row>
    <row r="913" ht="14.25" customHeight="1">
      <c r="A913" s="1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6"/>
    </row>
    <row r="914" ht="14.25" customHeight="1">
      <c r="A914" s="1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6"/>
    </row>
    <row r="915" ht="14.25" customHeight="1">
      <c r="A915" s="1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6"/>
    </row>
    <row r="916" ht="14.25" customHeight="1">
      <c r="A916" s="1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6"/>
    </row>
    <row r="917" ht="14.25" customHeight="1">
      <c r="A917" s="1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6"/>
    </row>
    <row r="918" ht="14.25" customHeight="1">
      <c r="A918" s="1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6"/>
    </row>
    <row r="919" ht="14.25" customHeight="1">
      <c r="A919" s="1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6"/>
    </row>
    <row r="920" ht="14.25" customHeight="1">
      <c r="A920" s="1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6"/>
    </row>
    <row r="921" ht="14.25" customHeight="1">
      <c r="A921" s="1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6"/>
    </row>
    <row r="922" ht="14.25" customHeight="1">
      <c r="A922" s="1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6"/>
    </row>
    <row r="923" ht="14.25" customHeight="1">
      <c r="A923" s="1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6"/>
    </row>
    <row r="924" ht="14.25" customHeight="1">
      <c r="A924" s="1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6"/>
    </row>
    <row r="925" ht="14.25" customHeight="1">
      <c r="A925" s="1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6"/>
    </row>
    <row r="926" ht="14.25" customHeight="1">
      <c r="A926" s="1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6"/>
    </row>
    <row r="927" ht="14.25" customHeight="1">
      <c r="A927" s="1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6"/>
    </row>
    <row r="928" ht="14.25" customHeight="1">
      <c r="A928" s="1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6"/>
    </row>
    <row r="929" ht="14.25" customHeight="1">
      <c r="A929" s="1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6"/>
    </row>
    <row r="930" ht="14.25" customHeight="1">
      <c r="A930" s="1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6"/>
    </row>
    <row r="931" ht="14.25" customHeight="1">
      <c r="A931" s="1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6"/>
    </row>
    <row r="932" ht="14.25" customHeight="1">
      <c r="A932" s="1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6"/>
    </row>
    <row r="933" ht="14.25" customHeight="1">
      <c r="A933" s="1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6"/>
    </row>
    <row r="934" ht="14.25" customHeight="1">
      <c r="A934" s="1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6"/>
    </row>
    <row r="935" ht="14.25" customHeight="1">
      <c r="A935" s="1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6"/>
    </row>
    <row r="936" ht="14.25" customHeight="1">
      <c r="A936" s="1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6"/>
    </row>
    <row r="937" ht="14.25" customHeight="1">
      <c r="A937" s="1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6"/>
    </row>
    <row r="938" ht="14.25" customHeight="1">
      <c r="A938" s="1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6"/>
    </row>
    <row r="939" ht="14.25" customHeight="1">
      <c r="A939" s="1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6"/>
    </row>
    <row r="940" ht="14.25" customHeight="1">
      <c r="A940" s="1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6"/>
    </row>
    <row r="941" ht="14.25" customHeight="1">
      <c r="A941" s="1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6"/>
    </row>
    <row r="942" ht="14.25" customHeight="1">
      <c r="A942" s="1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6"/>
    </row>
    <row r="943" ht="14.25" customHeight="1">
      <c r="A943" s="1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6"/>
    </row>
    <row r="944" ht="14.25" customHeight="1">
      <c r="A944" s="1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6"/>
    </row>
    <row r="945" ht="14.25" customHeight="1">
      <c r="A945" s="1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6"/>
    </row>
    <row r="946" ht="14.25" customHeight="1">
      <c r="A946" s="1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6"/>
    </row>
    <row r="947" ht="14.25" customHeight="1">
      <c r="A947" s="1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6"/>
    </row>
    <row r="948" ht="14.25" customHeight="1">
      <c r="A948" s="1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6"/>
    </row>
    <row r="949" ht="14.25" customHeight="1">
      <c r="A949" s="1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6"/>
    </row>
    <row r="950" ht="14.25" customHeight="1">
      <c r="A950" s="1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6"/>
    </row>
    <row r="951" ht="14.25" customHeight="1">
      <c r="A951" s="1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6"/>
    </row>
    <row r="952" ht="14.25" customHeight="1">
      <c r="A952" s="1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6"/>
    </row>
    <row r="953" ht="14.25" customHeight="1">
      <c r="A953" s="1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6"/>
    </row>
    <row r="954" ht="14.25" customHeight="1">
      <c r="A954" s="1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6"/>
    </row>
    <row r="955" ht="14.25" customHeight="1">
      <c r="A955" s="1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6"/>
    </row>
    <row r="956" ht="14.25" customHeight="1">
      <c r="A956" s="1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6"/>
    </row>
    <row r="957" ht="14.25" customHeight="1">
      <c r="A957" s="1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6"/>
    </row>
    <row r="958" ht="14.25" customHeight="1">
      <c r="A958" s="1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6"/>
    </row>
    <row r="959" ht="14.25" customHeight="1">
      <c r="A959" s="1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6"/>
    </row>
    <row r="960" ht="14.25" customHeight="1">
      <c r="A960" s="1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6"/>
    </row>
    <row r="961" ht="14.25" customHeight="1">
      <c r="A961" s="1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6"/>
    </row>
    <row r="962" ht="14.25" customHeight="1">
      <c r="A962" s="1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6"/>
    </row>
    <row r="963" ht="14.25" customHeight="1">
      <c r="A963" s="1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6"/>
    </row>
    <row r="964" ht="14.25" customHeight="1">
      <c r="A964" s="1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6"/>
    </row>
    <row r="965" ht="14.25" customHeight="1">
      <c r="A965" s="1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6"/>
    </row>
    <row r="966" ht="14.25" customHeight="1">
      <c r="A966" s="1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6"/>
    </row>
    <row r="967" ht="14.25" customHeight="1">
      <c r="A967" s="1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6"/>
    </row>
    <row r="968" ht="14.25" customHeight="1">
      <c r="A968" s="1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6"/>
    </row>
    <row r="969" ht="14.25" customHeight="1">
      <c r="A969" s="1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6"/>
    </row>
    <row r="970" ht="14.25" customHeight="1">
      <c r="A970" s="1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6"/>
    </row>
    <row r="971" ht="14.25" customHeight="1">
      <c r="A971" s="1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6"/>
    </row>
    <row r="972" ht="14.25" customHeight="1">
      <c r="A972" s="1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6"/>
    </row>
    <row r="973" ht="14.25" customHeight="1">
      <c r="A973" s="1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6"/>
    </row>
    <row r="974" ht="14.25" customHeight="1">
      <c r="A974" s="1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6"/>
    </row>
    <row r="975" ht="14.25" customHeight="1">
      <c r="A975" s="1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6"/>
    </row>
    <row r="976" ht="14.25" customHeight="1">
      <c r="A976" s="1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6"/>
    </row>
    <row r="977" ht="14.25" customHeight="1">
      <c r="A977" s="1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6"/>
    </row>
    <row r="978" ht="14.25" customHeight="1">
      <c r="A978" s="1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6"/>
    </row>
    <row r="979" ht="14.25" customHeight="1">
      <c r="A979" s="1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6"/>
    </row>
    <row r="980" ht="14.25" customHeight="1">
      <c r="A980" s="1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6"/>
    </row>
    <row r="981" ht="14.25" customHeight="1">
      <c r="A981" s="1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6"/>
    </row>
    <row r="982" ht="14.25" customHeight="1">
      <c r="A982" s="1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6"/>
    </row>
    <row r="983" ht="14.25" customHeight="1">
      <c r="A983" s="1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6"/>
    </row>
    <row r="984" ht="14.25" customHeight="1">
      <c r="A984" s="1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6"/>
    </row>
    <row r="985" ht="14.25" customHeight="1">
      <c r="A985" s="1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6"/>
    </row>
    <row r="986" ht="14.25" customHeight="1">
      <c r="A986" s="1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6"/>
    </row>
    <row r="987" ht="14.25" customHeight="1">
      <c r="A987" s="1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6"/>
    </row>
    <row r="988" ht="14.25" customHeight="1">
      <c r="A988" s="1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6"/>
    </row>
    <row r="989" ht="14.25" customHeight="1">
      <c r="A989" s="1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6"/>
    </row>
    <row r="990" ht="14.25" customHeight="1">
      <c r="A990" s="1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6"/>
    </row>
    <row r="991" ht="14.25" customHeight="1">
      <c r="A991" s="1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6"/>
    </row>
    <row r="992" ht="14.25" customHeight="1">
      <c r="A992" s="1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6"/>
    </row>
    <row r="993" ht="14.25" customHeight="1">
      <c r="A993" s="1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6"/>
    </row>
    <row r="994" ht="14.25" customHeight="1">
      <c r="A994" s="1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6"/>
    </row>
    <row r="995" ht="14.25" customHeight="1">
      <c r="A995" s="1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6"/>
    </row>
    <row r="996" ht="14.25" customHeight="1">
      <c r="A996" s="1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6"/>
    </row>
    <row r="997" ht="14.25" customHeight="1">
      <c r="A997" s="1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6"/>
    </row>
    <row r="998" ht="14.25" customHeight="1">
      <c r="A998" s="1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6"/>
    </row>
    <row r="999" ht="14.25" customHeight="1">
      <c r="A999" s="1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6"/>
    </row>
    <row r="1000" ht="14.25" customHeight="1">
      <c r="A1000" s="1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6"/>
    </row>
    <row r="1001" ht="14.25" customHeight="1">
      <c r="A1001" s="14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6"/>
    </row>
    <row r="1002" ht="14.25" customHeight="1">
      <c r="A1002" s="14"/>
      <c r="B1002" s="15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  <c r="AD1002" s="15"/>
      <c r="AE1002" s="15"/>
      <c r="AF1002" s="15"/>
      <c r="AG1002" s="16"/>
    </row>
    <row r="1003" ht="14.25" customHeight="1">
      <c r="A1003" s="14"/>
      <c r="B1003" s="15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  <c r="AD1003" s="15"/>
      <c r="AE1003" s="15"/>
      <c r="AF1003" s="15"/>
      <c r="AG1003" s="16"/>
    </row>
    <row r="1004" ht="14.25" customHeight="1">
      <c r="A1004" s="14"/>
      <c r="B1004" s="15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  <c r="AD1004" s="15"/>
      <c r="AE1004" s="15"/>
      <c r="AF1004" s="15"/>
      <c r="AG1004" s="16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7.0" ySplit="6.0" topLeftCell="H7" activePane="bottomRight" state="frozen"/>
      <selection activeCell="H1" sqref="H1" pane="topRight"/>
      <selection activeCell="A7" sqref="A7" pane="bottomLeft"/>
      <selection activeCell="H7" sqref="H7" pane="bottomRight"/>
    </sheetView>
  </sheetViews>
  <sheetFormatPr customHeight="1" defaultColWidth="12.63" defaultRowHeight="15.75"/>
  <cols>
    <col customWidth="1" min="1" max="1" width="4.13"/>
    <col customWidth="1" min="2" max="2" width="23.38"/>
    <col customWidth="1" min="3" max="3" width="13.0"/>
    <col customWidth="1" min="4" max="4" width="13.13"/>
    <col customWidth="1" min="5" max="5" width="20.5"/>
    <col customWidth="1" min="6" max="6" width="17.38"/>
    <col customWidth="1" min="7" max="7" width="15.25"/>
    <col customWidth="1" min="8" max="8" width="0.88"/>
  </cols>
  <sheetData>
    <row r="1">
      <c r="A1" s="55"/>
      <c r="B1" s="56" t="s">
        <v>44</v>
      </c>
      <c r="C1" s="55"/>
      <c r="D1" s="55"/>
      <c r="E1" s="55"/>
      <c r="F1" s="55"/>
      <c r="G1" s="55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>
      <c r="A2" s="55"/>
      <c r="B2" s="55"/>
      <c r="C2" s="55"/>
      <c r="D2" s="55"/>
      <c r="E2" s="55"/>
      <c r="F2" s="55"/>
      <c r="G2" s="55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>
      <c r="A3" s="57"/>
      <c r="B3" s="58" t="s">
        <v>45</v>
      </c>
      <c r="C3" s="59" t="s">
        <v>46</v>
      </c>
      <c r="D3" s="57"/>
      <c r="E3" s="57"/>
      <c r="F3" s="57"/>
      <c r="G3" s="57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>
      <c r="A4" s="55"/>
      <c r="B4" s="55"/>
      <c r="C4" s="55"/>
      <c r="D4" s="55"/>
      <c r="E4" s="55"/>
      <c r="F4" s="55"/>
      <c r="G4" s="5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>
      <c r="A5" s="60" t="s">
        <v>47</v>
      </c>
      <c r="B5" s="60" t="s">
        <v>48</v>
      </c>
      <c r="C5" s="60" t="s">
        <v>49</v>
      </c>
      <c r="D5" s="60" t="s">
        <v>50</v>
      </c>
      <c r="E5" s="60" t="s">
        <v>51</v>
      </c>
      <c r="F5" s="61" t="s">
        <v>52</v>
      </c>
      <c r="G5" s="61" t="s">
        <v>53</v>
      </c>
      <c r="H5" s="62"/>
      <c r="I5" s="62" t="s">
        <v>54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>
      <c r="A6" s="63"/>
      <c r="B6" s="64" t="s">
        <v>40</v>
      </c>
      <c r="C6" s="65"/>
      <c r="D6" s="65"/>
      <c r="E6" s="65"/>
      <c r="F6" s="66"/>
      <c r="G6" s="66"/>
      <c r="H6" s="67"/>
      <c r="I6" s="68">
        <v>46143.0</v>
      </c>
      <c r="J6" s="69">
        <v>46144.0</v>
      </c>
      <c r="K6" s="69">
        <v>46145.0</v>
      </c>
      <c r="L6" s="69">
        <v>46146.0</v>
      </c>
      <c r="M6" s="69">
        <v>46147.0</v>
      </c>
      <c r="N6" s="69">
        <v>46148.0</v>
      </c>
      <c r="O6" s="69">
        <v>46149.0</v>
      </c>
      <c r="P6" s="69">
        <v>46150.0</v>
      </c>
      <c r="Q6" s="69">
        <v>46151.0</v>
      </c>
      <c r="R6" s="69">
        <v>46152.0</v>
      </c>
      <c r="S6" s="69">
        <v>46153.0</v>
      </c>
      <c r="T6" s="69">
        <v>46154.0</v>
      </c>
      <c r="U6" s="69">
        <v>46155.0</v>
      </c>
      <c r="V6" s="69">
        <v>46156.0</v>
      </c>
      <c r="W6" s="69">
        <v>46157.0</v>
      </c>
      <c r="X6" s="69">
        <v>46158.0</v>
      </c>
      <c r="Y6" s="69">
        <v>46159.0</v>
      </c>
      <c r="Z6" s="69">
        <v>46160.0</v>
      </c>
      <c r="AA6" s="69">
        <v>46161.0</v>
      </c>
      <c r="AB6" s="69">
        <v>46162.0</v>
      </c>
      <c r="AC6" s="69">
        <v>46163.0</v>
      </c>
      <c r="AD6" s="69">
        <v>46164.0</v>
      </c>
      <c r="AE6" s="69">
        <v>46165.0</v>
      </c>
      <c r="AF6" s="69">
        <v>46166.0</v>
      </c>
      <c r="AG6" s="69">
        <v>46167.0</v>
      </c>
      <c r="AH6" s="69">
        <v>46168.0</v>
      </c>
      <c r="AI6" s="69">
        <v>46169.0</v>
      </c>
      <c r="AJ6" s="69">
        <v>46170.0</v>
      </c>
      <c r="AK6" s="69">
        <v>46171.0</v>
      </c>
      <c r="AL6" s="69">
        <v>46172.0</v>
      </c>
      <c r="AM6" s="69">
        <v>46173.0</v>
      </c>
      <c r="AN6" s="67"/>
    </row>
    <row r="7">
      <c r="A7" s="70"/>
      <c r="B7" s="71" t="s">
        <v>55</v>
      </c>
      <c r="C7" s="71" t="s">
        <v>56</v>
      </c>
      <c r="D7" s="71" t="s">
        <v>57</v>
      </c>
      <c r="E7" s="70"/>
      <c r="F7" s="72"/>
      <c r="G7" s="72"/>
      <c r="H7" s="73"/>
      <c r="I7" s="74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6"/>
      <c r="AN7" s="77"/>
    </row>
    <row r="8">
      <c r="A8" s="70"/>
      <c r="B8" s="71"/>
      <c r="C8" s="70"/>
      <c r="D8" s="70"/>
      <c r="E8" s="70"/>
      <c r="F8" s="72"/>
      <c r="G8" s="72"/>
      <c r="H8" s="73"/>
      <c r="I8" s="74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3"/>
    </row>
    <row r="9">
      <c r="A9" s="70"/>
      <c r="B9" s="70"/>
      <c r="C9" s="70"/>
      <c r="D9" s="70"/>
      <c r="E9" s="70"/>
      <c r="F9" s="72"/>
      <c r="G9" s="72"/>
      <c r="H9" s="73"/>
      <c r="I9" s="74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3"/>
    </row>
    <row r="10">
      <c r="A10" s="70"/>
      <c r="B10" s="71"/>
      <c r="C10" s="70"/>
      <c r="D10" s="70"/>
      <c r="E10" s="70"/>
      <c r="F10" s="72"/>
      <c r="G10" s="72"/>
      <c r="H10" s="73"/>
      <c r="I10" s="74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3"/>
    </row>
    <row r="11">
      <c r="A11" s="70"/>
      <c r="B11" s="70"/>
      <c r="C11" s="70"/>
      <c r="D11" s="70"/>
      <c r="E11" s="70"/>
      <c r="F11" s="72"/>
      <c r="G11" s="72"/>
      <c r="H11" s="73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3"/>
    </row>
    <row r="12">
      <c r="A12" s="70"/>
      <c r="B12" s="70"/>
      <c r="C12" s="70"/>
      <c r="D12" s="70"/>
      <c r="E12" s="70"/>
      <c r="F12" s="72"/>
      <c r="G12" s="72"/>
      <c r="H12" s="73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3"/>
    </row>
    <row r="13">
      <c r="A13" s="70"/>
      <c r="B13" s="70"/>
      <c r="C13" s="70"/>
      <c r="D13" s="70"/>
      <c r="E13" s="70"/>
      <c r="F13" s="72"/>
      <c r="G13" s="72"/>
      <c r="H13" s="73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3"/>
    </row>
    <row r="14">
      <c r="A14" s="70"/>
      <c r="B14" s="70"/>
      <c r="C14" s="70"/>
      <c r="D14" s="70"/>
      <c r="E14" s="70"/>
      <c r="F14" s="72"/>
      <c r="G14" s="72"/>
      <c r="H14" s="73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3"/>
    </row>
    <row r="15">
      <c r="A15" s="70"/>
      <c r="B15" s="70"/>
      <c r="C15" s="70"/>
      <c r="D15" s="70"/>
      <c r="E15" s="70"/>
      <c r="F15" s="72"/>
      <c r="G15" s="72"/>
      <c r="H15" s="73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3"/>
    </row>
    <row r="16">
      <c r="A16" s="78" t="s">
        <v>58</v>
      </c>
      <c r="B16" s="65"/>
      <c r="C16" s="65"/>
      <c r="D16" s="65"/>
      <c r="E16" s="79"/>
      <c r="F16" s="80">
        <f t="shared" ref="F16:G16" si="1">SUM(F7:F15)</f>
        <v>0</v>
      </c>
      <c r="G16" s="80">
        <f t="shared" si="1"/>
        <v>0</v>
      </c>
      <c r="H16" s="73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3"/>
    </row>
    <row r="17">
      <c r="A17" s="81" t="s">
        <v>41</v>
      </c>
      <c r="B17" s="65"/>
      <c r="C17" s="65"/>
      <c r="D17" s="65"/>
      <c r="E17" s="79"/>
      <c r="F17" s="82"/>
      <c r="G17" s="82"/>
      <c r="H17" s="73"/>
      <c r="I17" s="83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73"/>
    </row>
    <row r="18">
      <c r="A18" s="70"/>
      <c r="B18" s="70"/>
      <c r="C18" s="70"/>
      <c r="D18" s="70"/>
      <c r="E18" s="85"/>
      <c r="F18" s="72"/>
      <c r="G18" s="72"/>
      <c r="H18" s="73"/>
      <c r="I18" s="74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3"/>
    </row>
    <row r="19">
      <c r="A19" s="70"/>
      <c r="B19" s="70"/>
      <c r="C19" s="70"/>
      <c r="D19" s="70"/>
      <c r="E19" s="70"/>
      <c r="F19" s="86"/>
      <c r="G19" s="72"/>
      <c r="H19" s="73"/>
      <c r="I19" s="74"/>
      <c r="J19" s="75"/>
      <c r="K19" s="75"/>
      <c r="L19" s="75"/>
      <c r="M19" s="75"/>
      <c r="N19" s="75"/>
      <c r="O19" s="75"/>
      <c r="P19" s="75"/>
      <c r="Q19" s="75"/>
      <c r="R19" s="76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3"/>
    </row>
    <row r="20">
      <c r="A20" s="70"/>
      <c r="B20" s="71"/>
      <c r="C20" s="70"/>
      <c r="D20" s="70"/>
      <c r="E20" s="70"/>
      <c r="F20" s="72"/>
      <c r="G20" s="72"/>
      <c r="H20" s="73"/>
      <c r="I20" s="74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3"/>
    </row>
    <row r="21">
      <c r="A21" s="70"/>
      <c r="B21" s="70"/>
      <c r="C21" s="70"/>
      <c r="D21" s="70"/>
      <c r="E21" s="70"/>
      <c r="F21" s="86"/>
      <c r="G21" s="72"/>
      <c r="H21" s="77"/>
      <c r="I21" s="87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3"/>
    </row>
    <row r="22">
      <c r="A22" s="70"/>
      <c r="B22" s="71"/>
      <c r="C22" s="70"/>
      <c r="D22" s="70"/>
      <c r="E22" s="70"/>
      <c r="F22" s="72"/>
      <c r="G22" s="72"/>
      <c r="H22" s="73"/>
      <c r="I22" s="74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3"/>
    </row>
    <row r="23">
      <c r="A23" s="70"/>
      <c r="B23" s="70"/>
      <c r="C23" s="70"/>
      <c r="D23" s="70"/>
      <c r="E23" s="70"/>
      <c r="F23" s="72"/>
      <c r="G23" s="72"/>
      <c r="H23" s="73"/>
      <c r="I23" s="74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3"/>
    </row>
    <row r="24">
      <c r="A24" s="70"/>
      <c r="B24" s="70"/>
      <c r="C24" s="70"/>
      <c r="D24" s="70"/>
      <c r="E24" s="70"/>
      <c r="F24" s="86"/>
      <c r="G24" s="72"/>
      <c r="H24" s="73"/>
      <c r="I24" s="74"/>
      <c r="J24" s="75"/>
      <c r="K24" s="75"/>
      <c r="L24" s="75"/>
      <c r="M24" s="76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3"/>
    </row>
    <row r="25">
      <c r="A25" s="70"/>
      <c r="B25" s="70"/>
      <c r="C25" s="70"/>
      <c r="D25" s="70"/>
      <c r="E25" s="70"/>
      <c r="F25" s="72"/>
      <c r="G25" s="72"/>
      <c r="H25" s="73"/>
      <c r="I25" s="74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3"/>
    </row>
    <row r="26">
      <c r="A26" s="78" t="s">
        <v>58</v>
      </c>
      <c r="B26" s="65"/>
      <c r="C26" s="65"/>
      <c r="D26" s="65"/>
      <c r="E26" s="79"/>
      <c r="F26" s="80">
        <f t="shared" ref="F26:G26" si="2">SUM(F18:F25)</f>
        <v>0</v>
      </c>
      <c r="G26" s="80">
        <f t="shared" si="2"/>
        <v>0</v>
      </c>
      <c r="H26" s="73"/>
      <c r="I26" s="74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3"/>
    </row>
    <row r="27">
      <c r="A27" s="88" t="s">
        <v>42</v>
      </c>
      <c r="B27" s="65"/>
      <c r="C27" s="65"/>
      <c r="D27" s="65"/>
      <c r="E27" s="79"/>
      <c r="F27" s="89"/>
      <c r="G27" s="89"/>
      <c r="H27" s="73"/>
      <c r="I27" s="90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73"/>
    </row>
    <row r="28">
      <c r="A28" s="70"/>
      <c r="B28" s="70"/>
      <c r="C28" s="70"/>
      <c r="D28" s="70"/>
      <c r="E28" s="70"/>
      <c r="F28" s="72"/>
      <c r="G28" s="72"/>
      <c r="H28" s="73"/>
      <c r="I28" s="74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3"/>
    </row>
    <row r="29">
      <c r="A29" s="70"/>
      <c r="B29" s="71"/>
      <c r="C29" s="70"/>
      <c r="D29" s="70"/>
      <c r="E29" s="70"/>
      <c r="F29" s="72"/>
      <c r="G29" s="72"/>
      <c r="H29" s="73"/>
      <c r="I29" s="74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3"/>
    </row>
    <row r="30">
      <c r="A30" s="70"/>
      <c r="B30" s="70"/>
      <c r="C30" s="70"/>
      <c r="D30" s="70"/>
      <c r="E30" s="70"/>
      <c r="F30" s="72"/>
      <c r="G30" s="72"/>
      <c r="H30" s="73"/>
      <c r="I30" s="74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3"/>
    </row>
    <row r="31">
      <c r="A31" s="70"/>
      <c r="B31" s="70"/>
      <c r="C31" s="70"/>
      <c r="D31" s="70"/>
      <c r="E31" s="70"/>
      <c r="F31" s="72"/>
      <c r="G31" s="72"/>
      <c r="H31" s="73"/>
      <c r="I31" s="74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3"/>
    </row>
    <row r="32">
      <c r="A32" s="70"/>
      <c r="B32" s="70"/>
      <c r="C32" s="70"/>
      <c r="D32" s="70"/>
      <c r="E32" s="70"/>
      <c r="F32" s="72"/>
      <c r="G32" s="72"/>
      <c r="H32" s="73"/>
      <c r="I32" s="74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3"/>
    </row>
    <row r="33">
      <c r="A33" s="70"/>
      <c r="B33" s="70"/>
      <c r="C33" s="70"/>
      <c r="D33" s="70"/>
      <c r="E33" s="70"/>
      <c r="F33" s="72"/>
      <c r="G33" s="72"/>
      <c r="H33" s="73"/>
      <c r="I33" s="74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3"/>
    </row>
    <row r="34">
      <c r="A34" s="70"/>
      <c r="B34" s="70"/>
      <c r="C34" s="70"/>
      <c r="D34" s="70"/>
      <c r="E34" s="70"/>
      <c r="F34" s="72"/>
      <c r="G34" s="72"/>
      <c r="H34" s="73"/>
      <c r="I34" s="74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3"/>
    </row>
    <row r="35">
      <c r="A35" s="78" t="s">
        <v>58</v>
      </c>
      <c r="B35" s="65"/>
      <c r="C35" s="65"/>
      <c r="D35" s="65"/>
      <c r="E35" s="79"/>
      <c r="F35" s="80">
        <f t="shared" ref="F35:G35" si="3">SUM(F28:F34)</f>
        <v>0</v>
      </c>
      <c r="G35" s="80">
        <f t="shared" si="3"/>
        <v>0</v>
      </c>
      <c r="H35" s="73"/>
      <c r="I35" s="74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3"/>
    </row>
    <row r="36">
      <c r="A36" s="92" t="s">
        <v>59</v>
      </c>
      <c r="B36" s="65"/>
      <c r="C36" s="65"/>
      <c r="D36" s="65"/>
      <c r="E36" s="79"/>
      <c r="F36" s="93">
        <f t="shared" ref="F36:G36" si="4">F16+F26+F35</f>
        <v>0</v>
      </c>
      <c r="G36" s="93">
        <f t="shared" si="4"/>
        <v>0</v>
      </c>
      <c r="H36" s="73"/>
      <c r="I36" s="94">
        <f t="shared" ref="I36:AM36" si="5">SUM(I7:I35)</f>
        <v>0</v>
      </c>
      <c r="J36" s="95">
        <f t="shared" si="5"/>
        <v>0</v>
      </c>
      <c r="K36" s="95">
        <f t="shared" si="5"/>
        <v>0</v>
      </c>
      <c r="L36" s="95">
        <f t="shared" si="5"/>
        <v>0</v>
      </c>
      <c r="M36" s="95">
        <f t="shared" si="5"/>
        <v>0</v>
      </c>
      <c r="N36" s="95">
        <f t="shared" si="5"/>
        <v>0</v>
      </c>
      <c r="O36" s="95">
        <f t="shared" si="5"/>
        <v>0</v>
      </c>
      <c r="P36" s="95">
        <f t="shared" si="5"/>
        <v>0</v>
      </c>
      <c r="Q36" s="95">
        <f t="shared" si="5"/>
        <v>0</v>
      </c>
      <c r="R36" s="95">
        <f t="shared" si="5"/>
        <v>0</v>
      </c>
      <c r="S36" s="95">
        <f t="shared" si="5"/>
        <v>0</v>
      </c>
      <c r="T36" s="95">
        <f t="shared" si="5"/>
        <v>0</v>
      </c>
      <c r="U36" s="95">
        <f t="shared" si="5"/>
        <v>0</v>
      </c>
      <c r="V36" s="95">
        <f t="shared" si="5"/>
        <v>0</v>
      </c>
      <c r="W36" s="95">
        <f t="shared" si="5"/>
        <v>0</v>
      </c>
      <c r="X36" s="95">
        <f t="shared" si="5"/>
        <v>0</v>
      </c>
      <c r="Y36" s="95">
        <f t="shared" si="5"/>
        <v>0</v>
      </c>
      <c r="Z36" s="95">
        <f t="shared" si="5"/>
        <v>0</v>
      </c>
      <c r="AA36" s="95">
        <f t="shared" si="5"/>
        <v>0</v>
      </c>
      <c r="AB36" s="95">
        <f t="shared" si="5"/>
        <v>0</v>
      </c>
      <c r="AC36" s="95">
        <f t="shared" si="5"/>
        <v>0</v>
      </c>
      <c r="AD36" s="95">
        <f t="shared" si="5"/>
        <v>0</v>
      </c>
      <c r="AE36" s="95">
        <f t="shared" si="5"/>
        <v>0</v>
      </c>
      <c r="AF36" s="95">
        <f t="shared" si="5"/>
        <v>0</v>
      </c>
      <c r="AG36" s="95">
        <f t="shared" si="5"/>
        <v>0</v>
      </c>
      <c r="AH36" s="95">
        <f t="shared" si="5"/>
        <v>0</v>
      </c>
      <c r="AI36" s="95">
        <f t="shared" si="5"/>
        <v>0</v>
      </c>
      <c r="AJ36" s="95">
        <f t="shared" si="5"/>
        <v>0</v>
      </c>
      <c r="AK36" s="95">
        <f t="shared" si="5"/>
        <v>0</v>
      </c>
      <c r="AL36" s="95">
        <f t="shared" si="5"/>
        <v>0</v>
      </c>
      <c r="AM36" s="95">
        <f t="shared" si="5"/>
        <v>0</v>
      </c>
      <c r="AN36" s="73"/>
    </row>
    <row r="37">
      <c r="A37" s="96"/>
      <c r="B37" s="96"/>
      <c r="C37" s="96"/>
      <c r="D37" s="96"/>
      <c r="E37" s="96"/>
      <c r="F37" s="96"/>
      <c r="G37" s="96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>
      <c r="A38" s="97"/>
      <c r="B38" s="97" t="s">
        <v>32</v>
      </c>
      <c r="C38" s="97"/>
      <c r="D38" s="97"/>
      <c r="E38" s="97"/>
      <c r="F38" s="97"/>
      <c r="G38" s="97"/>
      <c r="H38" s="98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73"/>
    </row>
    <row r="39">
      <c r="A39" s="100"/>
      <c r="B39" s="100" t="s">
        <v>60</v>
      </c>
      <c r="C39" s="100"/>
      <c r="D39" s="100"/>
      <c r="E39" s="100" t="s">
        <v>61</v>
      </c>
      <c r="F39" s="100">
        <v>1.1E8</v>
      </c>
      <c r="G39" s="100"/>
      <c r="H39" s="98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73"/>
    </row>
    <row r="40">
      <c r="A40" s="100"/>
      <c r="B40" s="100"/>
      <c r="C40" s="100"/>
      <c r="D40" s="100"/>
      <c r="E40" s="100"/>
      <c r="F40" s="100"/>
      <c r="G40" s="100"/>
      <c r="H40" s="98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73"/>
    </row>
    <row r="41">
      <c r="A41" s="98"/>
      <c r="B41" s="98"/>
      <c r="C41" s="98"/>
      <c r="D41" s="98"/>
      <c r="E41" s="98"/>
      <c r="F41" s="98"/>
      <c r="G41" s="98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>
      <c r="A42" s="98"/>
      <c r="B42" s="98"/>
      <c r="C42" s="98"/>
      <c r="D42" s="98"/>
      <c r="E42" s="98"/>
      <c r="F42" s="98"/>
      <c r="G42" s="98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>
      <c r="A43" s="98"/>
      <c r="B43" s="98"/>
      <c r="C43" s="98"/>
      <c r="D43" s="98"/>
      <c r="E43" s="98"/>
      <c r="F43" s="98"/>
      <c r="G43" s="98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</row>
    <row r="44">
      <c r="A44" s="98" t="s">
        <v>62</v>
      </c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>
      <c r="A45" s="102" t="s">
        <v>63</v>
      </c>
      <c r="C45" s="103"/>
      <c r="D45" s="104"/>
      <c r="E45" s="104"/>
      <c r="F45" s="96"/>
      <c r="G45" s="96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>
      <c r="A46" s="105"/>
      <c r="B46" s="105"/>
      <c r="C46" s="106"/>
      <c r="D46" s="105"/>
      <c r="E46" s="105"/>
      <c r="F46" s="96"/>
      <c r="G46" s="96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>
      <c r="A47" s="107" t="s">
        <v>47</v>
      </c>
      <c r="B47" s="108" t="s">
        <v>64</v>
      </c>
      <c r="C47" s="109" t="s">
        <v>49</v>
      </c>
      <c r="D47" s="110" t="s">
        <v>50</v>
      </c>
      <c r="E47" s="111" t="s">
        <v>65</v>
      </c>
      <c r="F47" s="107" t="s">
        <v>52</v>
      </c>
      <c r="G47" s="108" t="s">
        <v>53</v>
      </c>
      <c r="H47" s="112"/>
      <c r="I47" s="113" t="s">
        <v>66</v>
      </c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73"/>
    </row>
    <row r="48">
      <c r="A48" s="115"/>
      <c r="B48" s="116" t="s">
        <v>40</v>
      </c>
      <c r="C48" s="117"/>
      <c r="D48" s="117"/>
      <c r="E48" s="118"/>
      <c r="F48" s="115"/>
      <c r="G48" s="116"/>
      <c r="H48" s="73"/>
      <c r="I48" s="119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73"/>
    </row>
    <row r="49">
      <c r="A49" s="121"/>
      <c r="B49" s="122"/>
      <c r="C49" s="123"/>
      <c r="D49" s="123"/>
      <c r="E49" s="124"/>
      <c r="F49" s="121"/>
      <c r="G49" s="122"/>
      <c r="H49" s="73"/>
      <c r="I49" s="125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73"/>
    </row>
    <row r="50">
      <c r="A50" s="121"/>
      <c r="B50" s="122"/>
      <c r="C50" s="123"/>
      <c r="D50" s="123"/>
      <c r="E50" s="124"/>
      <c r="F50" s="121"/>
      <c r="G50" s="122"/>
      <c r="H50" s="73"/>
      <c r="I50" s="125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73"/>
    </row>
    <row r="51">
      <c r="A51" s="121"/>
      <c r="B51" s="122"/>
      <c r="C51" s="123"/>
      <c r="D51" s="123"/>
      <c r="E51" s="124"/>
      <c r="F51" s="121"/>
      <c r="G51" s="122"/>
      <c r="H51" s="73"/>
      <c r="I51" s="125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73"/>
    </row>
    <row r="52">
      <c r="A52" s="121"/>
      <c r="B52" s="122"/>
      <c r="C52" s="123"/>
      <c r="D52" s="123"/>
      <c r="E52" s="124"/>
      <c r="F52" s="121"/>
      <c r="G52" s="122"/>
      <c r="H52" s="73"/>
      <c r="I52" s="125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73"/>
    </row>
    <row r="53">
      <c r="A53" s="121"/>
      <c r="B53" s="122"/>
      <c r="C53" s="123"/>
      <c r="D53" s="123"/>
      <c r="E53" s="124"/>
      <c r="F53" s="121"/>
      <c r="G53" s="122"/>
      <c r="H53" s="73"/>
      <c r="I53" s="125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73"/>
    </row>
    <row r="54">
      <c r="A54" s="121"/>
      <c r="B54" s="122"/>
      <c r="C54" s="123"/>
      <c r="D54" s="123"/>
      <c r="E54" s="124"/>
      <c r="F54" s="121"/>
      <c r="G54" s="122"/>
      <c r="H54" s="73"/>
      <c r="I54" s="125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73"/>
    </row>
    <row r="55">
      <c r="A55" s="121"/>
      <c r="B55" s="122"/>
      <c r="C55" s="123"/>
      <c r="D55" s="123"/>
      <c r="E55" s="124"/>
      <c r="F55" s="121"/>
      <c r="G55" s="122"/>
      <c r="H55" s="73"/>
      <c r="I55" s="125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73"/>
    </row>
    <row r="56">
      <c r="A56" s="121"/>
      <c r="B56" s="122"/>
      <c r="C56" s="123"/>
      <c r="D56" s="123"/>
      <c r="E56" s="124"/>
      <c r="F56" s="121"/>
      <c r="G56" s="122"/>
      <c r="H56" s="73"/>
      <c r="I56" s="125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73"/>
    </row>
    <row r="57">
      <c r="A57" s="121"/>
      <c r="B57" s="122"/>
      <c r="C57" s="123"/>
      <c r="D57" s="123"/>
      <c r="E57" s="124"/>
      <c r="F57" s="121"/>
      <c r="G57" s="122"/>
      <c r="H57" s="73"/>
      <c r="I57" s="125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73"/>
    </row>
    <row r="58">
      <c r="A58" s="127" t="s">
        <v>58</v>
      </c>
      <c r="B58" s="117"/>
      <c r="C58" s="117"/>
      <c r="D58" s="117"/>
      <c r="E58" s="118"/>
      <c r="F58" s="128">
        <f t="shared" ref="F58:G58" si="6">SUM(F49:F57)</f>
        <v>0</v>
      </c>
      <c r="G58" s="129">
        <f t="shared" si="6"/>
        <v>0</v>
      </c>
      <c r="H58" s="73"/>
      <c r="I58" s="125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73"/>
    </row>
    <row r="59">
      <c r="A59" s="130"/>
      <c r="B59" s="130" t="s">
        <v>41</v>
      </c>
      <c r="C59" s="117"/>
      <c r="D59" s="117"/>
      <c r="E59" s="118"/>
      <c r="F59" s="131"/>
      <c r="G59" s="130"/>
      <c r="H59" s="73"/>
      <c r="I59" s="132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73"/>
    </row>
    <row r="60">
      <c r="A60" s="121"/>
      <c r="B60" s="122"/>
      <c r="C60" s="123"/>
      <c r="D60" s="123"/>
      <c r="E60" s="124"/>
      <c r="F60" s="121"/>
      <c r="G60" s="122"/>
      <c r="H60" s="73"/>
      <c r="I60" s="125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73"/>
    </row>
    <row r="61">
      <c r="A61" s="121"/>
      <c r="B61" s="122"/>
      <c r="C61" s="123"/>
      <c r="D61" s="123"/>
      <c r="E61" s="124"/>
      <c r="F61" s="121"/>
      <c r="G61" s="122"/>
      <c r="H61" s="73"/>
      <c r="I61" s="125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73"/>
    </row>
    <row r="62">
      <c r="A62" s="121"/>
      <c r="B62" s="122"/>
      <c r="C62" s="123"/>
      <c r="D62" s="123"/>
      <c r="E62" s="124"/>
      <c r="F62" s="134"/>
      <c r="G62" s="135"/>
      <c r="H62" s="73"/>
      <c r="I62" s="125"/>
      <c r="J62" s="126"/>
      <c r="K62" s="126"/>
      <c r="L62" s="126"/>
      <c r="M62" s="126"/>
      <c r="N62" s="134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26"/>
      <c r="AN62" s="73"/>
    </row>
    <row r="63">
      <c r="A63" s="121"/>
      <c r="B63" s="122"/>
      <c r="C63" s="123"/>
      <c r="D63" s="123"/>
      <c r="E63" s="124"/>
      <c r="F63" s="121"/>
      <c r="G63" s="122"/>
      <c r="H63" s="73"/>
      <c r="I63" s="125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26"/>
      <c r="AN63" s="73"/>
    </row>
    <row r="64">
      <c r="A64" s="121"/>
      <c r="B64" s="122"/>
      <c r="C64" s="123"/>
      <c r="D64" s="123"/>
      <c r="E64" s="124"/>
      <c r="F64" s="121"/>
      <c r="G64" s="122"/>
      <c r="H64" s="73"/>
      <c r="I64" s="125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26"/>
      <c r="AN64" s="73"/>
    </row>
    <row r="65">
      <c r="A65" s="121"/>
      <c r="B65" s="122"/>
      <c r="C65" s="123"/>
      <c r="D65" s="123"/>
      <c r="E65" s="124"/>
      <c r="F65" s="121"/>
      <c r="G65" s="122"/>
      <c r="H65" s="73"/>
      <c r="I65" s="125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26"/>
      <c r="AN65" s="73"/>
    </row>
    <row r="66">
      <c r="A66" s="121"/>
      <c r="B66" s="122"/>
      <c r="C66" s="123"/>
      <c r="D66" s="123"/>
      <c r="E66" s="124"/>
      <c r="F66" s="121"/>
      <c r="G66" s="122"/>
      <c r="H66" s="73"/>
      <c r="I66" s="125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26"/>
      <c r="AN66" s="73"/>
    </row>
    <row r="67">
      <c r="A67" s="121"/>
      <c r="B67" s="122"/>
      <c r="C67" s="123"/>
      <c r="D67" s="123"/>
      <c r="E67" s="124"/>
      <c r="F67" s="121"/>
      <c r="G67" s="122"/>
      <c r="H67" s="73"/>
      <c r="I67" s="125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26"/>
      <c r="AN67" s="73"/>
    </row>
    <row r="68">
      <c r="A68" s="127" t="s">
        <v>58</v>
      </c>
      <c r="B68" s="117"/>
      <c r="C68" s="117"/>
      <c r="D68" s="117"/>
      <c r="E68" s="118"/>
      <c r="F68" s="128">
        <f t="shared" ref="F68:G68" si="7">SUM(F60:F67)</f>
        <v>0</v>
      </c>
      <c r="G68" s="129">
        <f t="shared" si="7"/>
        <v>0</v>
      </c>
      <c r="H68" s="73"/>
      <c r="I68" s="125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73"/>
    </row>
    <row r="69">
      <c r="A69" s="136"/>
      <c r="B69" s="137" t="s">
        <v>42</v>
      </c>
      <c r="C69" s="117"/>
      <c r="D69" s="117"/>
      <c r="E69" s="117"/>
      <c r="F69" s="138"/>
      <c r="G69" s="139"/>
      <c r="H69" s="73"/>
      <c r="I69" s="138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73"/>
    </row>
    <row r="70">
      <c r="A70" s="121"/>
      <c r="B70" s="122"/>
      <c r="C70" s="123"/>
      <c r="D70" s="123"/>
      <c r="E70" s="124"/>
      <c r="F70" s="121"/>
      <c r="G70" s="122"/>
      <c r="H70" s="73"/>
      <c r="I70" s="125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73"/>
    </row>
    <row r="71">
      <c r="A71" s="121"/>
      <c r="B71" s="122"/>
      <c r="C71" s="123"/>
      <c r="D71" s="123"/>
      <c r="E71" s="124"/>
      <c r="F71" s="121"/>
      <c r="G71" s="122"/>
      <c r="H71" s="73"/>
      <c r="I71" s="125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73"/>
    </row>
    <row r="72">
      <c r="A72" s="121"/>
      <c r="B72" s="122"/>
      <c r="C72" s="123"/>
      <c r="D72" s="123"/>
      <c r="E72" s="124"/>
      <c r="F72" s="121"/>
      <c r="G72" s="122"/>
      <c r="H72" s="73"/>
      <c r="I72" s="125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73"/>
    </row>
    <row r="73">
      <c r="A73" s="121"/>
      <c r="B73" s="122"/>
      <c r="C73" s="123"/>
      <c r="D73" s="123"/>
      <c r="E73" s="124"/>
      <c r="F73" s="121" t="str">
        <f t="shared" ref="F73:G73" si="8">Q73</f>
        <v/>
      </c>
      <c r="G73" s="122" t="str">
        <f t="shared" si="8"/>
        <v/>
      </c>
      <c r="H73" s="73"/>
      <c r="I73" s="125"/>
      <c r="J73" s="126"/>
      <c r="K73" s="126"/>
      <c r="L73" s="126"/>
      <c r="M73" s="126"/>
      <c r="N73" s="126"/>
      <c r="O73" s="126"/>
      <c r="P73" s="126"/>
      <c r="Q73" s="134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73"/>
    </row>
    <row r="74">
      <c r="A74" s="121"/>
      <c r="B74" s="122"/>
      <c r="C74" s="123"/>
      <c r="D74" s="123"/>
      <c r="E74" s="124"/>
      <c r="F74" s="121"/>
      <c r="G74" s="122"/>
      <c r="H74" s="73"/>
      <c r="I74" s="125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73"/>
    </row>
    <row r="75">
      <c r="A75" s="121"/>
      <c r="B75" s="122"/>
      <c r="C75" s="123"/>
      <c r="D75" s="123"/>
      <c r="E75" s="124"/>
      <c r="F75" s="121"/>
      <c r="G75" s="122"/>
      <c r="H75" s="73"/>
      <c r="I75" s="125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73"/>
    </row>
    <row r="76">
      <c r="A76" s="121"/>
      <c r="B76" s="122"/>
      <c r="C76" s="123"/>
      <c r="D76" s="123"/>
      <c r="E76" s="124"/>
      <c r="F76" s="121"/>
      <c r="G76" s="122"/>
      <c r="H76" s="73"/>
      <c r="I76" s="125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73"/>
    </row>
    <row r="77">
      <c r="A77" s="127" t="s">
        <v>58</v>
      </c>
      <c r="B77" s="117"/>
      <c r="C77" s="117"/>
      <c r="D77" s="117"/>
      <c r="E77" s="118"/>
      <c r="F77" s="128">
        <f t="shared" ref="F77:G77" si="9">SUM(F70:F76)</f>
        <v>0</v>
      </c>
      <c r="G77" s="129">
        <f t="shared" si="9"/>
        <v>0</v>
      </c>
      <c r="H77" s="73"/>
      <c r="I77" s="125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73"/>
    </row>
    <row r="78">
      <c r="A78" s="141" t="s">
        <v>67</v>
      </c>
      <c r="B78" s="117"/>
      <c r="C78" s="117"/>
      <c r="D78" s="117"/>
      <c r="E78" s="118"/>
      <c r="F78" s="142">
        <f t="shared" ref="F78:G78" si="10">F58+F68+F77</f>
        <v>0</v>
      </c>
      <c r="G78" s="143">
        <f t="shared" si="10"/>
        <v>0</v>
      </c>
      <c r="H78" s="144"/>
      <c r="I78" s="145">
        <f t="shared" ref="I78:AM78" si="11">SUM(I48:I77)</f>
        <v>0</v>
      </c>
      <c r="J78" s="146">
        <f t="shared" si="11"/>
        <v>0</v>
      </c>
      <c r="K78" s="146">
        <f t="shared" si="11"/>
        <v>0</v>
      </c>
      <c r="L78" s="146">
        <f t="shared" si="11"/>
        <v>0</v>
      </c>
      <c r="M78" s="146">
        <f t="shared" si="11"/>
        <v>0</v>
      </c>
      <c r="N78" s="146">
        <f t="shared" si="11"/>
        <v>0</v>
      </c>
      <c r="O78" s="146">
        <f t="shared" si="11"/>
        <v>0</v>
      </c>
      <c r="P78" s="146">
        <f t="shared" si="11"/>
        <v>0</v>
      </c>
      <c r="Q78" s="146">
        <f t="shared" si="11"/>
        <v>0</v>
      </c>
      <c r="R78" s="146">
        <f t="shared" si="11"/>
        <v>0</v>
      </c>
      <c r="S78" s="146">
        <f t="shared" si="11"/>
        <v>0</v>
      </c>
      <c r="T78" s="146">
        <f t="shared" si="11"/>
        <v>0</v>
      </c>
      <c r="U78" s="146">
        <f t="shared" si="11"/>
        <v>0</v>
      </c>
      <c r="V78" s="146">
        <f t="shared" si="11"/>
        <v>0</v>
      </c>
      <c r="W78" s="146">
        <f t="shared" si="11"/>
        <v>0</v>
      </c>
      <c r="X78" s="146">
        <f t="shared" si="11"/>
        <v>0</v>
      </c>
      <c r="Y78" s="146">
        <f t="shared" si="11"/>
        <v>0</v>
      </c>
      <c r="Z78" s="146">
        <f t="shared" si="11"/>
        <v>0</v>
      </c>
      <c r="AA78" s="146">
        <f t="shared" si="11"/>
        <v>0</v>
      </c>
      <c r="AB78" s="146">
        <f t="shared" si="11"/>
        <v>0</v>
      </c>
      <c r="AC78" s="146">
        <f t="shared" si="11"/>
        <v>0</v>
      </c>
      <c r="AD78" s="146">
        <f t="shared" si="11"/>
        <v>0</v>
      </c>
      <c r="AE78" s="146">
        <f t="shared" si="11"/>
        <v>0</v>
      </c>
      <c r="AF78" s="146">
        <f t="shared" si="11"/>
        <v>0</v>
      </c>
      <c r="AG78" s="146">
        <f t="shared" si="11"/>
        <v>0</v>
      </c>
      <c r="AH78" s="146">
        <f t="shared" si="11"/>
        <v>0</v>
      </c>
      <c r="AI78" s="146">
        <f t="shared" si="11"/>
        <v>0</v>
      </c>
      <c r="AJ78" s="146">
        <f t="shared" si="11"/>
        <v>0</v>
      </c>
      <c r="AK78" s="146">
        <f t="shared" si="11"/>
        <v>0</v>
      </c>
      <c r="AL78" s="146">
        <f t="shared" si="11"/>
        <v>0</v>
      </c>
      <c r="AM78" s="146">
        <f t="shared" si="11"/>
        <v>0</v>
      </c>
      <c r="AN78" s="144"/>
    </row>
    <row r="79">
      <c r="A79" s="96"/>
      <c r="B79" s="96"/>
      <c r="C79" s="96"/>
      <c r="D79" s="96"/>
      <c r="E79" s="96"/>
      <c r="F79" s="96"/>
      <c r="G79" s="96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>
      <c r="A80" s="96"/>
      <c r="B80" s="96"/>
      <c r="C80" s="96"/>
      <c r="D80" s="96"/>
      <c r="E80" s="96"/>
      <c r="F80" s="96"/>
      <c r="G80" s="96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>
      <c r="A81" s="96"/>
      <c r="B81" s="96"/>
      <c r="C81" s="96"/>
      <c r="D81" s="96"/>
      <c r="E81" s="96"/>
      <c r="F81" s="96"/>
      <c r="G81" s="96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>
      <c r="A82" s="96"/>
      <c r="B82" s="96"/>
      <c r="C82" s="96"/>
      <c r="D82" s="96"/>
      <c r="E82" s="96"/>
      <c r="F82" s="96"/>
      <c r="G82" s="96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>
      <c r="A83" s="96"/>
      <c r="B83" s="96"/>
      <c r="C83" s="96"/>
      <c r="D83" s="96"/>
      <c r="E83" s="96"/>
      <c r="F83" s="96"/>
      <c r="G83" s="96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>
      <c r="A84" s="96"/>
      <c r="B84" s="96"/>
      <c r="C84" s="96"/>
      <c r="D84" s="96"/>
      <c r="E84" s="96"/>
      <c r="F84" s="96"/>
      <c r="G84" s="96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>
      <c r="A85" s="96"/>
      <c r="B85" s="96"/>
      <c r="C85" s="96"/>
      <c r="D85" s="96"/>
      <c r="E85" s="96"/>
      <c r="F85" s="96"/>
      <c r="G85" s="96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>
      <c r="A86" s="96"/>
      <c r="B86" s="96"/>
      <c r="C86" s="96"/>
      <c r="D86" s="96"/>
      <c r="E86" s="96"/>
      <c r="F86" s="96"/>
      <c r="G86" s="96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>
      <c r="A87" s="96"/>
      <c r="B87" s="96"/>
      <c r="C87" s="96"/>
      <c r="D87" s="96"/>
      <c r="E87" s="96"/>
      <c r="F87" s="96"/>
      <c r="G87" s="96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>
      <c r="A88" s="96"/>
      <c r="B88" s="96"/>
      <c r="C88" s="96"/>
      <c r="D88" s="96"/>
      <c r="E88" s="96"/>
      <c r="F88" s="96"/>
      <c r="G88" s="96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>
      <c r="A89" s="96"/>
      <c r="B89" s="96"/>
      <c r="C89" s="96"/>
      <c r="D89" s="96"/>
      <c r="E89" s="96"/>
      <c r="F89" s="96"/>
      <c r="G89" s="96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>
      <c r="A90" s="96"/>
      <c r="B90" s="96"/>
      <c r="C90" s="96"/>
      <c r="D90" s="96"/>
      <c r="E90" s="96"/>
      <c r="F90" s="96"/>
      <c r="G90" s="96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</row>
    <row r="92"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</row>
    <row r="93"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</row>
    <row r="94"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</row>
    <row r="95"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</row>
    <row r="96"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</row>
    <row r="97"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</row>
    <row r="98"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</row>
    <row r="99"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</row>
    <row r="100"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</row>
    <row r="101"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  <row r="1001"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</row>
    <row r="1002"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</row>
    <row r="1003"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</row>
    <row r="1004"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</row>
    <row r="1005"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</row>
    <row r="1006"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</row>
  </sheetData>
  <mergeCells count="16">
    <mergeCell ref="B6:E6"/>
    <mergeCell ref="A16:E16"/>
    <mergeCell ref="A17:E17"/>
    <mergeCell ref="A26:E26"/>
    <mergeCell ref="A27:E27"/>
    <mergeCell ref="A35:E35"/>
    <mergeCell ref="A36:E36"/>
    <mergeCell ref="A77:E77"/>
    <mergeCell ref="A78:E78"/>
    <mergeCell ref="A44:G44"/>
    <mergeCell ref="A45:B45"/>
    <mergeCell ref="B48:E48"/>
    <mergeCell ref="A58:E58"/>
    <mergeCell ref="B59:E59"/>
    <mergeCell ref="A68:E68"/>
    <mergeCell ref="B69:E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8.0" ySplit="6.0" topLeftCell="I7" activePane="bottomRight" state="frozen"/>
      <selection activeCell="I1" sqref="I1" pane="topRight"/>
      <selection activeCell="A7" sqref="A7" pane="bottomLeft"/>
      <selection activeCell="I7" sqref="I7" pane="bottomRight"/>
    </sheetView>
  </sheetViews>
  <sheetFormatPr customHeight="1" defaultColWidth="12.63" defaultRowHeight="15.75"/>
  <cols>
    <col customWidth="1" min="1" max="1" width="4.13"/>
    <col customWidth="1" min="2" max="2" width="49.0"/>
    <col customWidth="1" min="3" max="3" width="13.0"/>
    <col customWidth="1" min="4" max="4" width="25.88"/>
    <col customWidth="1" min="5" max="5" width="53.5"/>
    <col customWidth="1" min="6" max="6" width="17.38"/>
    <col customWidth="1" min="7" max="7" width="15.0"/>
    <col customWidth="1" min="8" max="8" width="1.88"/>
    <col customWidth="1" min="9" max="9" width="14.25"/>
    <col customWidth="1" min="10" max="10" width="14.5"/>
    <col customWidth="1" min="14" max="14" width="15.13"/>
    <col customWidth="1" min="39" max="39" width="14.75"/>
  </cols>
  <sheetData>
    <row r="1">
      <c r="A1" s="55"/>
      <c r="B1" s="56" t="s">
        <v>44</v>
      </c>
      <c r="C1" s="55"/>
      <c r="D1" s="55"/>
      <c r="E1" s="55"/>
      <c r="F1" s="55"/>
      <c r="G1" s="55"/>
      <c r="H1" s="55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</row>
    <row r="2">
      <c r="A2" s="55"/>
      <c r="B2" s="55"/>
      <c r="C2" s="55"/>
      <c r="D2" s="55"/>
      <c r="E2" s="55"/>
      <c r="F2" s="55"/>
      <c r="G2" s="55"/>
      <c r="H2" s="55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</row>
    <row r="3">
      <c r="A3" s="57"/>
      <c r="B3" s="58" t="s">
        <v>45</v>
      </c>
      <c r="C3" s="59" t="s">
        <v>46</v>
      </c>
      <c r="D3" s="57"/>
      <c r="F3" s="57"/>
      <c r="G3" s="57"/>
      <c r="H3" s="57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</row>
    <row r="4">
      <c r="A4" s="55"/>
      <c r="B4" s="55"/>
      <c r="C4" s="55"/>
      <c r="D4" s="55"/>
      <c r="E4" s="55"/>
      <c r="F4" s="55"/>
      <c r="G4" s="55"/>
      <c r="H4" s="55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>
      <c r="A5" s="60" t="s">
        <v>47</v>
      </c>
      <c r="B5" s="60" t="s">
        <v>48</v>
      </c>
      <c r="C5" s="60" t="s">
        <v>49</v>
      </c>
      <c r="D5" s="60" t="s">
        <v>51</v>
      </c>
      <c r="E5" s="60" t="s">
        <v>50</v>
      </c>
      <c r="F5" s="60" t="s">
        <v>52</v>
      </c>
      <c r="G5" s="60" t="s">
        <v>53</v>
      </c>
      <c r="H5" s="147"/>
      <c r="I5" s="62" t="s">
        <v>54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>
      <c r="A6" s="63" t="s">
        <v>40</v>
      </c>
      <c r="B6" s="65"/>
      <c r="C6" s="65"/>
      <c r="D6" s="65"/>
      <c r="E6" s="65"/>
      <c r="F6" s="79"/>
      <c r="G6" s="148"/>
      <c r="H6" s="149"/>
      <c r="I6" s="69">
        <v>46143.0</v>
      </c>
      <c r="J6" s="69">
        <v>46144.0</v>
      </c>
      <c r="K6" s="69">
        <v>46145.0</v>
      </c>
      <c r="L6" s="69">
        <v>46146.0</v>
      </c>
      <c r="M6" s="69">
        <v>46147.0</v>
      </c>
      <c r="N6" s="69">
        <v>46148.0</v>
      </c>
      <c r="O6" s="69">
        <v>46149.0</v>
      </c>
      <c r="P6" s="69">
        <v>46150.0</v>
      </c>
      <c r="Q6" s="69">
        <v>46151.0</v>
      </c>
      <c r="R6" s="69">
        <v>46152.0</v>
      </c>
      <c r="S6" s="69">
        <v>46153.0</v>
      </c>
      <c r="T6" s="69">
        <v>46154.0</v>
      </c>
      <c r="U6" s="69">
        <v>46155.0</v>
      </c>
      <c r="V6" s="69">
        <v>46156.0</v>
      </c>
      <c r="W6" s="69">
        <v>46157.0</v>
      </c>
      <c r="X6" s="69">
        <v>46158.0</v>
      </c>
      <c r="Y6" s="69">
        <v>46159.0</v>
      </c>
      <c r="Z6" s="69">
        <v>46160.0</v>
      </c>
      <c r="AA6" s="69">
        <v>46161.0</v>
      </c>
      <c r="AB6" s="69">
        <v>46162.0</v>
      </c>
      <c r="AC6" s="69">
        <v>46163.0</v>
      </c>
      <c r="AD6" s="69">
        <v>46164.0</v>
      </c>
      <c r="AE6" s="69">
        <v>46165.0</v>
      </c>
      <c r="AF6" s="69">
        <v>46166.0</v>
      </c>
      <c r="AG6" s="69">
        <v>46167.0</v>
      </c>
      <c r="AH6" s="69">
        <v>46168.0</v>
      </c>
      <c r="AI6" s="69">
        <v>46169.0</v>
      </c>
      <c r="AJ6" s="69">
        <v>46170.0</v>
      </c>
      <c r="AK6" s="69">
        <v>46171.0</v>
      </c>
      <c r="AL6" s="69">
        <v>46172.0</v>
      </c>
      <c r="AM6" s="69">
        <v>46173.0</v>
      </c>
      <c r="AN6" s="67"/>
    </row>
    <row r="7">
      <c r="A7" s="70"/>
      <c r="B7" s="71"/>
      <c r="C7" s="70"/>
      <c r="D7" s="70"/>
      <c r="E7" s="70"/>
      <c r="F7" s="71"/>
      <c r="G7" s="70"/>
      <c r="H7" s="105"/>
      <c r="I7" s="75"/>
      <c r="J7" s="75"/>
      <c r="K7" s="75"/>
      <c r="L7" s="75"/>
      <c r="M7" s="75"/>
      <c r="N7" s="75"/>
      <c r="O7" s="75"/>
      <c r="P7" s="75" t="str">
        <f>F7</f>
        <v/>
      </c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6"/>
      <c r="AM7" s="76"/>
      <c r="AN7" s="77"/>
    </row>
    <row r="8">
      <c r="A8" s="70"/>
      <c r="B8" s="70"/>
      <c r="C8" s="70"/>
      <c r="D8" s="70"/>
      <c r="E8" s="70"/>
      <c r="F8" s="70"/>
      <c r="G8" s="70"/>
      <c r="H8" s="10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3"/>
    </row>
    <row r="9">
      <c r="A9" s="70"/>
      <c r="B9" s="70"/>
      <c r="C9" s="70"/>
      <c r="D9" s="70"/>
      <c r="E9" s="70"/>
      <c r="F9" s="70"/>
      <c r="G9" s="70"/>
      <c r="H9" s="10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3"/>
    </row>
    <row r="10">
      <c r="A10" s="70"/>
      <c r="B10" s="71"/>
      <c r="C10" s="70"/>
      <c r="D10" s="70"/>
      <c r="E10" s="70"/>
      <c r="F10" s="70"/>
      <c r="G10" s="70"/>
      <c r="H10" s="10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3"/>
    </row>
    <row r="11">
      <c r="A11" s="70"/>
      <c r="B11" s="70"/>
      <c r="C11" s="70"/>
      <c r="D11" s="70"/>
      <c r="E11" s="70"/>
      <c r="F11" s="70"/>
      <c r="G11" s="70"/>
      <c r="H11" s="10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3"/>
    </row>
    <row r="12">
      <c r="A12" s="70"/>
      <c r="B12" s="70"/>
      <c r="C12" s="70"/>
      <c r="D12" s="70"/>
      <c r="E12" s="70"/>
      <c r="F12" s="70"/>
      <c r="G12" s="70"/>
      <c r="H12" s="10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3"/>
    </row>
    <row r="13">
      <c r="A13" s="70"/>
      <c r="B13" s="70"/>
      <c r="C13" s="70"/>
      <c r="D13" s="70"/>
      <c r="E13" s="70"/>
      <c r="F13" s="70"/>
      <c r="G13" s="70"/>
      <c r="H13" s="10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3"/>
    </row>
    <row r="14">
      <c r="A14" s="70"/>
      <c r="B14" s="70"/>
      <c r="C14" s="70"/>
      <c r="D14" s="70"/>
      <c r="E14" s="70"/>
      <c r="F14" s="70"/>
      <c r="G14" s="70"/>
      <c r="H14" s="10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3"/>
    </row>
    <row r="15">
      <c r="A15" s="70"/>
      <c r="B15" s="70"/>
      <c r="C15" s="70"/>
      <c r="D15" s="70"/>
      <c r="E15" s="70"/>
      <c r="F15" s="70"/>
      <c r="G15" s="70"/>
      <c r="H15" s="10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3"/>
    </row>
    <row r="16">
      <c r="A16" s="78" t="s">
        <v>58</v>
      </c>
      <c r="B16" s="65"/>
      <c r="C16" s="65"/>
      <c r="D16" s="65"/>
      <c r="E16" s="79"/>
      <c r="F16" s="150">
        <f t="shared" ref="F16:G16" si="1">SUM(F6:F15)</f>
        <v>0</v>
      </c>
      <c r="G16" s="150">
        <f t="shared" si="1"/>
        <v>0</v>
      </c>
      <c r="H16" s="10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3"/>
    </row>
    <row r="17">
      <c r="A17" s="81" t="s">
        <v>41</v>
      </c>
      <c r="B17" s="65"/>
      <c r="C17" s="65"/>
      <c r="D17" s="65"/>
      <c r="E17" s="79"/>
      <c r="F17" s="151"/>
      <c r="G17" s="151"/>
      <c r="H17" s="105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73"/>
    </row>
    <row r="18">
      <c r="A18" s="70"/>
      <c r="B18" s="70"/>
      <c r="C18" s="70"/>
      <c r="D18" s="70"/>
      <c r="E18" s="85"/>
      <c r="F18" s="71"/>
      <c r="G18" s="71"/>
      <c r="H18" s="105"/>
      <c r="I18" s="75"/>
      <c r="J18" s="75"/>
      <c r="K18" s="75"/>
      <c r="L18" s="75"/>
      <c r="M18" s="75"/>
      <c r="N18" s="76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3"/>
    </row>
    <row r="19">
      <c r="A19" s="70"/>
      <c r="B19" s="71"/>
      <c r="C19" s="152"/>
      <c r="D19" s="71"/>
      <c r="E19" s="71"/>
      <c r="F19" s="71"/>
      <c r="G19" s="71"/>
      <c r="H19" s="105"/>
      <c r="I19" s="75"/>
      <c r="J19" s="75"/>
      <c r="K19" s="75"/>
      <c r="L19" s="75"/>
      <c r="M19" s="75"/>
      <c r="N19" s="75"/>
      <c r="O19" s="75" t="str">
        <f>F19</f>
        <v/>
      </c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3"/>
    </row>
    <row r="20">
      <c r="A20" s="70"/>
      <c r="B20" s="71" t="s">
        <v>68</v>
      </c>
      <c r="C20" s="71" t="s">
        <v>69</v>
      </c>
      <c r="D20" s="71">
        <v>0.0</v>
      </c>
      <c r="E20" s="71" t="s">
        <v>70</v>
      </c>
      <c r="F20" s="71">
        <v>2.3612051E8</v>
      </c>
      <c r="G20" s="70"/>
      <c r="H20" s="10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6">
        <v>2.3612051E8</v>
      </c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6"/>
      <c r="AN20" s="73"/>
    </row>
    <row r="21">
      <c r="A21" s="70"/>
      <c r="B21" s="71" t="s">
        <v>71</v>
      </c>
      <c r="C21" s="70"/>
      <c r="D21" s="70"/>
      <c r="E21" s="70"/>
      <c r="F21" s="71">
        <v>8.18E7</v>
      </c>
      <c r="G21" s="71"/>
      <c r="H21" s="10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6">
        <v>8.18E7</v>
      </c>
      <c r="AN21" s="73"/>
    </row>
    <row r="22">
      <c r="A22" s="70"/>
      <c r="B22" s="71" t="s">
        <v>72</v>
      </c>
      <c r="C22" s="70"/>
      <c r="D22" s="70"/>
      <c r="E22" s="70"/>
      <c r="F22" s="70">
        <f>G22*12100</f>
        <v>1028500000</v>
      </c>
      <c r="G22" s="71">
        <v>85000.0</v>
      </c>
      <c r="H22" s="10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6">
        <v>1.0285E9</v>
      </c>
      <c r="AN22" s="73"/>
    </row>
    <row r="23">
      <c r="A23" s="70"/>
      <c r="B23" s="71" t="s">
        <v>73</v>
      </c>
      <c r="C23" s="152" t="s">
        <v>74</v>
      </c>
      <c r="D23" s="71">
        <v>0.0</v>
      </c>
      <c r="E23" s="71" t="s">
        <v>75</v>
      </c>
      <c r="F23" s="71">
        <v>8.6795302E7</v>
      </c>
      <c r="G23" s="70"/>
      <c r="H23" s="10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6">
        <v>8.6795302E7</v>
      </c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6"/>
      <c r="AN23" s="73"/>
    </row>
    <row r="24">
      <c r="A24" s="70"/>
      <c r="B24" s="70"/>
      <c r="C24" s="70"/>
      <c r="D24" s="70"/>
      <c r="E24" s="70"/>
      <c r="F24" s="71"/>
      <c r="G24" s="71"/>
      <c r="H24" s="10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3"/>
    </row>
    <row r="25">
      <c r="A25" s="70"/>
      <c r="B25" s="70"/>
      <c r="C25" s="70"/>
      <c r="D25" s="70"/>
      <c r="E25" s="70"/>
      <c r="F25" s="70"/>
      <c r="G25" s="70"/>
      <c r="H25" s="10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3"/>
    </row>
    <row r="26">
      <c r="A26" s="78" t="s">
        <v>58</v>
      </c>
      <c r="B26" s="65"/>
      <c r="C26" s="65"/>
      <c r="D26" s="65"/>
      <c r="E26" s="79"/>
      <c r="F26" s="150">
        <f t="shared" ref="F26:G26" si="2">SUM(F18:F25)</f>
        <v>1433215812</v>
      </c>
      <c r="G26" s="150">
        <f t="shared" si="2"/>
        <v>85000</v>
      </c>
      <c r="H26" s="10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3"/>
    </row>
    <row r="27">
      <c r="A27" s="88" t="s">
        <v>42</v>
      </c>
      <c r="B27" s="65"/>
      <c r="C27" s="65"/>
      <c r="D27" s="65"/>
      <c r="E27" s="79"/>
      <c r="F27" s="153"/>
      <c r="G27" s="153"/>
      <c r="H27" s="105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73"/>
    </row>
    <row r="28">
      <c r="A28" s="70"/>
      <c r="B28" s="70"/>
      <c r="C28" s="70"/>
      <c r="D28" s="70"/>
      <c r="E28" s="70"/>
      <c r="F28" s="70"/>
      <c r="G28" s="70"/>
      <c r="H28" s="10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3"/>
    </row>
    <row r="29">
      <c r="A29" s="70"/>
      <c r="B29" s="71"/>
      <c r="C29" s="70"/>
      <c r="D29" s="70"/>
      <c r="E29" s="70"/>
      <c r="F29" s="71"/>
      <c r="G29" s="70"/>
      <c r="H29" s="10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3"/>
    </row>
    <row r="30">
      <c r="A30" s="70"/>
      <c r="B30" s="70"/>
      <c r="C30" s="70"/>
      <c r="D30" s="70"/>
      <c r="E30" s="70"/>
      <c r="F30" s="71"/>
      <c r="G30" s="71"/>
      <c r="H30" s="105"/>
      <c r="I30" s="75"/>
      <c r="J30" s="75"/>
      <c r="K30" s="75"/>
      <c r="L30" s="75"/>
      <c r="M30" s="75"/>
      <c r="N30" s="75"/>
      <c r="O30" s="75"/>
      <c r="P30" s="75"/>
      <c r="Q30" s="76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3"/>
    </row>
    <row r="31">
      <c r="A31" s="70"/>
      <c r="B31" s="70"/>
      <c r="C31" s="70"/>
      <c r="D31" s="70"/>
      <c r="E31" s="70"/>
      <c r="F31" s="70"/>
      <c r="G31" s="70"/>
      <c r="H31" s="10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3"/>
    </row>
    <row r="32">
      <c r="A32" s="70"/>
      <c r="B32" s="70"/>
      <c r="C32" s="70"/>
      <c r="D32" s="70"/>
      <c r="E32" s="70"/>
      <c r="F32" s="70"/>
      <c r="G32" s="70"/>
      <c r="H32" s="10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3"/>
    </row>
    <row r="33">
      <c r="A33" s="70"/>
      <c r="B33" s="70"/>
      <c r="C33" s="70"/>
      <c r="D33" s="70"/>
      <c r="E33" s="70"/>
      <c r="F33" s="70"/>
      <c r="G33" s="70"/>
      <c r="H33" s="10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3"/>
    </row>
    <row r="34">
      <c r="A34" s="70"/>
      <c r="B34" s="70"/>
      <c r="C34" s="70"/>
      <c r="D34" s="70"/>
      <c r="E34" s="70"/>
      <c r="F34" s="70"/>
      <c r="G34" s="70"/>
      <c r="H34" s="10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3"/>
    </row>
    <row r="35">
      <c r="A35" s="78" t="s">
        <v>58</v>
      </c>
      <c r="B35" s="65"/>
      <c r="C35" s="65"/>
      <c r="D35" s="65"/>
      <c r="E35" s="79"/>
      <c r="F35" s="150">
        <f t="shared" ref="F35:G35" si="3">SUM(F28:F34)</f>
        <v>0</v>
      </c>
      <c r="G35" s="150">
        <f t="shared" si="3"/>
        <v>0</v>
      </c>
      <c r="H35" s="10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3"/>
    </row>
    <row r="36">
      <c r="A36" s="92" t="s">
        <v>59</v>
      </c>
      <c r="B36" s="65"/>
      <c r="C36" s="65"/>
      <c r="D36" s="65"/>
      <c r="E36" s="79"/>
      <c r="F36" s="154">
        <f t="shared" ref="F36:G36" si="4">F16+F26+F35</f>
        <v>1433215812</v>
      </c>
      <c r="G36" s="154">
        <f t="shared" si="4"/>
        <v>85000</v>
      </c>
      <c r="H36" s="155"/>
      <c r="I36" s="95">
        <f t="shared" ref="I36:AM36" si="5">SUM(I7:I35)</f>
        <v>0</v>
      </c>
      <c r="J36" s="95">
        <f t="shared" si="5"/>
        <v>0</v>
      </c>
      <c r="K36" s="95">
        <f t="shared" si="5"/>
        <v>0</v>
      </c>
      <c r="L36" s="95">
        <f t="shared" si="5"/>
        <v>0</v>
      </c>
      <c r="M36" s="95">
        <f t="shared" si="5"/>
        <v>0</v>
      </c>
      <c r="N36" s="95">
        <f t="shared" si="5"/>
        <v>0</v>
      </c>
      <c r="O36" s="95">
        <f t="shared" si="5"/>
        <v>0</v>
      </c>
      <c r="P36" s="95">
        <f t="shared" si="5"/>
        <v>0</v>
      </c>
      <c r="Q36" s="95">
        <f t="shared" si="5"/>
        <v>0</v>
      </c>
      <c r="R36" s="95">
        <f t="shared" si="5"/>
        <v>0</v>
      </c>
      <c r="S36" s="95">
        <f t="shared" si="5"/>
        <v>0</v>
      </c>
      <c r="T36" s="95">
        <f t="shared" si="5"/>
        <v>0</v>
      </c>
      <c r="U36" s="95">
        <f t="shared" si="5"/>
        <v>0</v>
      </c>
      <c r="V36" s="95">
        <f t="shared" si="5"/>
        <v>0</v>
      </c>
      <c r="W36" s="95">
        <f t="shared" si="5"/>
        <v>322915812</v>
      </c>
      <c r="X36" s="95">
        <f t="shared" si="5"/>
        <v>0</v>
      </c>
      <c r="Y36" s="95">
        <f t="shared" si="5"/>
        <v>0</v>
      </c>
      <c r="Z36" s="95">
        <f t="shared" si="5"/>
        <v>0</v>
      </c>
      <c r="AA36" s="95">
        <f t="shared" si="5"/>
        <v>0</v>
      </c>
      <c r="AB36" s="95">
        <f t="shared" si="5"/>
        <v>0</v>
      </c>
      <c r="AC36" s="95">
        <f t="shared" si="5"/>
        <v>0</v>
      </c>
      <c r="AD36" s="95">
        <f t="shared" si="5"/>
        <v>0</v>
      </c>
      <c r="AE36" s="95">
        <f t="shared" si="5"/>
        <v>0</v>
      </c>
      <c r="AF36" s="95">
        <f t="shared" si="5"/>
        <v>0</v>
      </c>
      <c r="AG36" s="95">
        <f t="shared" si="5"/>
        <v>0</v>
      </c>
      <c r="AH36" s="95">
        <f t="shared" si="5"/>
        <v>0</v>
      </c>
      <c r="AI36" s="95">
        <f t="shared" si="5"/>
        <v>0</v>
      </c>
      <c r="AJ36" s="95">
        <f t="shared" si="5"/>
        <v>0</v>
      </c>
      <c r="AK36" s="95">
        <f t="shared" si="5"/>
        <v>0</v>
      </c>
      <c r="AL36" s="95">
        <f t="shared" si="5"/>
        <v>0</v>
      </c>
      <c r="AM36" s="95">
        <f t="shared" si="5"/>
        <v>1110300000</v>
      </c>
      <c r="AN36" s="73"/>
    </row>
    <row r="37">
      <c r="A37" s="96"/>
      <c r="B37" s="96"/>
      <c r="C37" s="96"/>
      <c r="D37" s="96"/>
      <c r="E37" s="96"/>
      <c r="F37" s="96"/>
      <c r="G37" s="96"/>
      <c r="H37" s="96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</row>
    <row r="38">
      <c r="A38" s="97"/>
      <c r="B38" s="97" t="s">
        <v>32</v>
      </c>
      <c r="C38" s="97"/>
      <c r="D38" s="97"/>
      <c r="E38" s="97"/>
      <c r="F38" s="97"/>
      <c r="G38" s="97"/>
      <c r="H38" s="98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73"/>
    </row>
    <row r="39">
      <c r="A39" s="100"/>
      <c r="B39" s="100" t="s">
        <v>60</v>
      </c>
      <c r="C39" s="100"/>
      <c r="D39" s="100"/>
      <c r="E39" s="100" t="s">
        <v>61</v>
      </c>
      <c r="F39" s="100"/>
      <c r="G39" s="100"/>
      <c r="H39" s="98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73"/>
    </row>
    <row r="40">
      <c r="A40" s="100"/>
      <c r="B40" s="100"/>
      <c r="C40" s="100"/>
      <c r="D40" s="100"/>
      <c r="E40" s="100"/>
      <c r="F40" s="100"/>
      <c r="G40" s="100"/>
      <c r="H40" s="98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73"/>
    </row>
    <row r="41">
      <c r="A41" s="98"/>
      <c r="B41" s="98"/>
      <c r="C41" s="98"/>
      <c r="D41" s="98"/>
      <c r="E41" s="98"/>
      <c r="F41" s="98"/>
      <c r="G41" s="98"/>
      <c r="H41" s="98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</row>
    <row r="42">
      <c r="A42" s="98"/>
      <c r="B42" s="98"/>
      <c r="C42" s="98"/>
      <c r="D42" s="98"/>
      <c r="E42" s="98"/>
      <c r="F42" s="98"/>
      <c r="G42" s="98"/>
      <c r="H42" s="98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</row>
    <row r="43">
      <c r="A43" s="98"/>
      <c r="B43" s="98"/>
      <c r="C43" s="98"/>
      <c r="D43" s="98"/>
      <c r="E43" s="98"/>
      <c r="F43" s="98"/>
      <c r="G43" s="98"/>
      <c r="H43" s="98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</row>
    <row r="44">
      <c r="A44" s="98" t="s">
        <v>62</v>
      </c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</row>
    <row r="45">
      <c r="A45" s="102" t="s">
        <v>63</v>
      </c>
      <c r="C45" s="103"/>
      <c r="D45" s="104"/>
      <c r="E45" s="104"/>
      <c r="F45" s="96"/>
      <c r="G45" s="96"/>
      <c r="H45" s="96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</row>
    <row r="46">
      <c r="A46" s="105"/>
      <c r="B46" s="105"/>
      <c r="C46" s="106"/>
      <c r="D46" s="105"/>
      <c r="E46" s="105"/>
      <c r="F46" s="96"/>
      <c r="G46" s="96"/>
      <c r="H46" s="96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</row>
    <row r="47">
      <c r="A47" s="107" t="s">
        <v>47</v>
      </c>
      <c r="B47" s="108" t="s">
        <v>64</v>
      </c>
      <c r="C47" s="109" t="s">
        <v>49</v>
      </c>
      <c r="D47" s="110" t="s">
        <v>50</v>
      </c>
      <c r="E47" s="111" t="s">
        <v>65</v>
      </c>
      <c r="F47" s="107" t="s">
        <v>52</v>
      </c>
      <c r="G47" s="107" t="s">
        <v>53</v>
      </c>
      <c r="H47" s="96"/>
      <c r="I47" s="113" t="s">
        <v>66</v>
      </c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  <c r="AI47" s="114"/>
      <c r="AJ47" s="114"/>
      <c r="AK47" s="114"/>
      <c r="AL47" s="114"/>
      <c r="AM47" s="114"/>
      <c r="AN47" s="73"/>
    </row>
    <row r="48">
      <c r="A48" s="115"/>
      <c r="B48" s="116" t="s">
        <v>40</v>
      </c>
      <c r="C48" s="117"/>
      <c r="D48" s="117"/>
      <c r="E48" s="118"/>
      <c r="F48" s="115"/>
      <c r="G48" s="115"/>
      <c r="H48" s="96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120"/>
      <c r="AH48" s="120"/>
      <c r="AI48" s="120"/>
      <c r="AJ48" s="120"/>
      <c r="AK48" s="120"/>
      <c r="AL48" s="120"/>
      <c r="AM48" s="120"/>
      <c r="AN48" s="73"/>
    </row>
    <row r="49">
      <c r="A49" s="121"/>
      <c r="B49" s="122"/>
      <c r="C49" s="123"/>
      <c r="D49" s="123"/>
      <c r="E49" s="124"/>
      <c r="F49" s="121"/>
      <c r="G49" s="121"/>
      <c r="H49" s="9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Z49" s="126"/>
      <c r="AA49" s="126"/>
      <c r="AB49" s="126"/>
      <c r="AC49" s="126"/>
      <c r="AD49" s="126"/>
      <c r="AE49" s="126"/>
      <c r="AF49" s="126"/>
      <c r="AG49" s="126"/>
      <c r="AH49" s="126"/>
      <c r="AI49" s="126"/>
      <c r="AJ49" s="126"/>
      <c r="AK49" s="126"/>
      <c r="AL49" s="126"/>
      <c r="AM49" s="126"/>
      <c r="AN49" s="73"/>
    </row>
    <row r="50">
      <c r="A50" s="121"/>
      <c r="B50" s="122"/>
      <c r="C50" s="123"/>
      <c r="D50" s="123"/>
      <c r="E50" s="124"/>
      <c r="F50" s="121"/>
      <c r="G50" s="121"/>
      <c r="H50" s="9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Z50" s="126"/>
      <c r="AA50" s="126"/>
      <c r="AB50" s="126"/>
      <c r="AC50" s="126"/>
      <c r="AD50" s="126"/>
      <c r="AE50" s="126"/>
      <c r="AF50" s="126"/>
      <c r="AG50" s="126"/>
      <c r="AH50" s="126"/>
      <c r="AI50" s="126"/>
      <c r="AJ50" s="126"/>
      <c r="AK50" s="126"/>
      <c r="AL50" s="126"/>
      <c r="AM50" s="126"/>
      <c r="AN50" s="73"/>
    </row>
    <row r="51">
      <c r="A51" s="121"/>
      <c r="B51" s="122"/>
      <c r="C51" s="123"/>
      <c r="D51" s="123"/>
      <c r="E51" s="124"/>
      <c r="F51" s="121"/>
      <c r="G51" s="121"/>
      <c r="H51" s="9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Z51" s="126"/>
      <c r="AA51" s="126"/>
      <c r="AB51" s="126"/>
      <c r="AC51" s="126"/>
      <c r="AD51" s="126"/>
      <c r="AE51" s="126"/>
      <c r="AF51" s="126"/>
      <c r="AG51" s="126"/>
      <c r="AH51" s="126"/>
      <c r="AI51" s="126"/>
      <c r="AJ51" s="126"/>
      <c r="AK51" s="126"/>
      <c r="AL51" s="126"/>
      <c r="AM51" s="126"/>
      <c r="AN51" s="73"/>
    </row>
    <row r="52">
      <c r="A52" s="121"/>
      <c r="B52" s="122"/>
      <c r="C52" s="123"/>
      <c r="D52" s="123"/>
      <c r="E52" s="124"/>
      <c r="F52" s="121"/>
      <c r="G52" s="121"/>
      <c r="H52" s="9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73"/>
    </row>
    <row r="53">
      <c r="A53" s="121"/>
      <c r="B53" s="122"/>
      <c r="C53" s="123"/>
      <c r="D53" s="123"/>
      <c r="E53" s="124"/>
      <c r="F53" s="121"/>
      <c r="G53" s="121"/>
      <c r="H53" s="9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126"/>
      <c r="Z53" s="126"/>
      <c r="AA53" s="126"/>
      <c r="AB53" s="126"/>
      <c r="AC53" s="126"/>
      <c r="AD53" s="126"/>
      <c r="AE53" s="126"/>
      <c r="AF53" s="126"/>
      <c r="AG53" s="126"/>
      <c r="AH53" s="126"/>
      <c r="AI53" s="126"/>
      <c r="AJ53" s="126"/>
      <c r="AK53" s="126"/>
      <c r="AL53" s="126"/>
      <c r="AM53" s="126"/>
      <c r="AN53" s="73"/>
    </row>
    <row r="54">
      <c r="A54" s="121"/>
      <c r="B54" s="122"/>
      <c r="C54" s="123"/>
      <c r="D54" s="123"/>
      <c r="E54" s="124"/>
      <c r="F54" s="121"/>
      <c r="G54" s="121"/>
      <c r="H54" s="9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6"/>
      <c r="AH54" s="126"/>
      <c r="AI54" s="126"/>
      <c r="AJ54" s="126"/>
      <c r="AK54" s="126"/>
      <c r="AL54" s="126"/>
      <c r="AM54" s="126"/>
      <c r="AN54" s="73"/>
    </row>
    <row r="55">
      <c r="A55" s="121"/>
      <c r="B55" s="122"/>
      <c r="C55" s="123"/>
      <c r="D55" s="123"/>
      <c r="E55" s="124"/>
      <c r="F55" s="121"/>
      <c r="G55" s="121"/>
      <c r="H55" s="9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126"/>
      <c r="Z55" s="126"/>
      <c r="AA55" s="126"/>
      <c r="AB55" s="126"/>
      <c r="AC55" s="126"/>
      <c r="AD55" s="126"/>
      <c r="AE55" s="126"/>
      <c r="AF55" s="126"/>
      <c r="AG55" s="126"/>
      <c r="AH55" s="126"/>
      <c r="AI55" s="126"/>
      <c r="AJ55" s="126"/>
      <c r="AK55" s="126"/>
      <c r="AL55" s="126"/>
      <c r="AM55" s="126"/>
      <c r="AN55" s="73"/>
    </row>
    <row r="56">
      <c r="A56" s="121"/>
      <c r="B56" s="122"/>
      <c r="C56" s="123"/>
      <c r="D56" s="123"/>
      <c r="E56" s="124"/>
      <c r="F56" s="121"/>
      <c r="G56" s="121"/>
      <c r="H56" s="9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6"/>
      <c r="AH56" s="126"/>
      <c r="AI56" s="126"/>
      <c r="AJ56" s="126"/>
      <c r="AK56" s="126"/>
      <c r="AL56" s="126"/>
      <c r="AM56" s="126"/>
      <c r="AN56" s="73"/>
    </row>
    <row r="57">
      <c r="A57" s="121"/>
      <c r="B57" s="122"/>
      <c r="C57" s="123"/>
      <c r="D57" s="123"/>
      <c r="E57" s="124"/>
      <c r="F57" s="121"/>
      <c r="G57" s="121"/>
      <c r="H57" s="9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Z57" s="126"/>
      <c r="AA57" s="126"/>
      <c r="AB57" s="126"/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73"/>
    </row>
    <row r="58">
      <c r="A58" s="127" t="s">
        <v>58</v>
      </c>
      <c r="B58" s="117"/>
      <c r="C58" s="117"/>
      <c r="D58" s="117"/>
      <c r="E58" s="118"/>
      <c r="F58" s="156">
        <f t="shared" ref="F58:G58" si="6">SUM(F49:F57)</f>
        <v>0</v>
      </c>
      <c r="G58" s="156">
        <f t="shared" si="6"/>
        <v>0</v>
      </c>
      <c r="H58" s="9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73"/>
    </row>
    <row r="59">
      <c r="A59" s="130"/>
      <c r="B59" s="130" t="s">
        <v>41</v>
      </c>
      <c r="C59" s="117"/>
      <c r="D59" s="117"/>
      <c r="E59" s="118"/>
      <c r="F59" s="131"/>
      <c r="G59" s="131"/>
      <c r="H59" s="96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73"/>
    </row>
    <row r="60">
      <c r="A60" s="121"/>
      <c r="B60" s="122"/>
      <c r="C60" s="123"/>
      <c r="D60" s="123"/>
      <c r="E60" s="124"/>
      <c r="F60" s="121"/>
      <c r="G60" s="121"/>
      <c r="H60" s="9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73"/>
    </row>
    <row r="61">
      <c r="A61" s="121"/>
      <c r="B61" s="157"/>
      <c r="C61" s="158"/>
      <c r="D61" s="159"/>
      <c r="E61" s="160"/>
      <c r="F61" s="161"/>
      <c r="G61" s="121"/>
      <c r="H61" s="96"/>
      <c r="I61" s="126"/>
      <c r="J61" s="126"/>
      <c r="K61" s="126"/>
      <c r="L61" s="126"/>
      <c r="M61" s="126" t="str">
        <f>F61</f>
        <v/>
      </c>
      <c r="N61" s="126"/>
      <c r="O61" s="126"/>
      <c r="P61" s="126"/>
      <c r="Q61" s="134"/>
      <c r="R61" s="126"/>
      <c r="S61" s="126"/>
      <c r="T61" s="126"/>
      <c r="U61" s="126"/>
      <c r="V61" s="126"/>
      <c r="W61" s="126"/>
      <c r="X61" s="126"/>
      <c r="Y61" s="126"/>
      <c r="Z61" s="134"/>
      <c r="AA61" s="126"/>
      <c r="AB61" s="126"/>
      <c r="AC61" s="126"/>
      <c r="AD61" s="126"/>
      <c r="AE61" s="126"/>
      <c r="AF61" s="126"/>
      <c r="AG61" s="126"/>
      <c r="AH61" s="126"/>
      <c r="AI61" s="126"/>
      <c r="AJ61" s="126"/>
      <c r="AK61" s="126"/>
      <c r="AL61" s="126"/>
      <c r="AM61" s="126"/>
      <c r="AN61" s="73"/>
    </row>
    <row r="62">
      <c r="A62" s="121"/>
      <c r="B62" s="157" t="s">
        <v>76</v>
      </c>
      <c r="C62" s="123"/>
      <c r="D62" s="159" t="s">
        <v>77</v>
      </c>
      <c r="E62" s="160" t="s">
        <v>78</v>
      </c>
      <c r="F62" s="134">
        <f>G62*12200</f>
        <v>36587800</v>
      </c>
      <c r="G62" s="134">
        <v>2999.0</v>
      </c>
      <c r="H62" s="9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126"/>
      <c r="Z62" s="126"/>
      <c r="AA62" s="126"/>
      <c r="AB62" s="126"/>
      <c r="AC62" s="126"/>
      <c r="AD62" s="126"/>
      <c r="AE62" s="126"/>
      <c r="AF62" s="126"/>
      <c r="AG62" s="126"/>
      <c r="AH62" s="126"/>
      <c r="AI62" s="126"/>
      <c r="AJ62" s="126"/>
      <c r="AK62" s="126"/>
      <c r="AL62" s="126"/>
      <c r="AM62" s="134">
        <v>3.65878E7</v>
      </c>
      <c r="AN62" s="73"/>
    </row>
    <row r="63">
      <c r="A63" s="121"/>
      <c r="B63" s="157" t="s">
        <v>76</v>
      </c>
      <c r="C63" s="123"/>
      <c r="D63" s="123"/>
      <c r="E63" s="160" t="s">
        <v>79</v>
      </c>
      <c r="F63" s="161">
        <v>2.1702241E7</v>
      </c>
      <c r="G63" s="161"/>
      <c r="H63" s="96"/>
      <c r="I63" s="126"/>
      <c r="J63" s="126"/>
      <c r="K63" s="126"/>
      <c r="L63" s="126"/>
      <c r="M63" s="126"/>
      <c r="N63" s="134"/>
      <c r="O63" s="126"/>
      <c r="P63" s="134">
        <v>2.1702241E7</v>
      </c>
      <c r="Q63" s="126"/>
      <c r="R63" s="126"/>
      <c r="S63" s="126"/>
      <c r="T63" s="126"/>
      <c r="U63" s="126"/>
      <c r="V63" s="126"/>
      <c r="W63" s="126"/>
      <c r="X63" s="126"/>
      <c r="Y63" s="126"/>
      <c r="Z63" s="126"/>
      <c r="AA63" s="126"/>
      <c r="AB63" s="126"/>
      <c r="AC63" s="126"/>
      <c r="AD63" s="126"/>
      <c r="AE63" s="126"/>
      <c r="AF63" s="126"/>
      <c r="AG63" s="126"/>
      <c r="AH63" s="126"/>
      <c r="AI63" s="126"/>
      <c r="AJ63" s="126"/>
      <c r="AK63" s="126"/>
      <c r="AL63" s="126"/>
      <c r="AM63" s="134"/>
      <c r="AN63" s="73"/>
    </row>
    <row r="64">
      <c r="A64" s="122"/>
      <c r="B64" s="162" t="s">
        <v>80</v>
      </c>
      <c r="C64" s="159">
        <v>3.08483374E8</v>
      </c>
      <c r="D64" s="159" t="s">
        <v>81</v>
      </c>
      <c r="E64" s="160" t="s">
        <v>82</v>
      </c>
      <c r="F64" s="161">
        <v>6.1952352E7</v>
      </c>
      <c r="G64" s="121"/>
      <c r="H64" s="9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6"/>
      <c r="AK64" s="126"/>
      <c r="AL64" s="126"/>
      <c r="AM64" s="134">
        <v>6.1952352E7</v>
      </c>
      <c r="AN64" s="73"/>
    </row>
    <row r="65">
      <c r="A65" s="121"/>
      <c r="B65" s="157" t="s">
        <v>76</v>
      </c>
      <c r="C65" s="123"/>
      <c r="D65" s="159" t="s">
        <v>77</v>
      </c>
      <c r="E65" s="160" t="s">
        <v>83</v>
      </c>
      <c r="F65" s="121">
        <f>G65*12200</f>
        <v>116485600</v>
      </c>
      <c r="G65" s="161">
        <v>9548.0</v>
      </c>
      <c r="H65" s="96"/>
      <c r="I65" s="126"/>
      <c r="J65" s="126"/>
      <c r="K65" s="126"/>
      <c r="L65" s="126"/>
      <c r="M65" s="126"/>
      <c r="N65" s="126"/>
      <c r="O65" s="134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  <c r="AM65" s="134">
        <v>1.164856E8</v>
      </c>
      <c r="AN65" s="73"/>
    </row>
    <row r="66">
      <c r="A66" s="121"/>
      <c r="B66" s="157" t="s">
        <v>76</v>
      </c>
      <c r="C66" s="123"/>
      <c r="D66" s="123"/>
      <c r="E66" s="160" t="s">
        <v>84</v>
      </c>
      <c r="F66" s="161">
        <v>4.3404482E7</v>
      </c>
      <c r="G66" s="121"/>
      <c r="H66" s="96"/>
      <c r="I66" s="126"/>
      <c r="J66" s="126"/>
      <c r="K66" s="126"/>
      <c r="L66" s="126"/>
      <c r="M66" s="126"/>
      <c r="N66" s="126"/>
      <c r="O66" s="126"/>
      <c r="P66" s="134">
        <v>4.3404482E7</v>
      </c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  <c r="AB66" s="126"/>
      <c r="AC66" s="126"/>
      <c r="AD66" s="126"/>
      <c r="AE66" s="126"/>
      <c r="AF66" s="126"/>
      <c r="AG66" s="126"/>
      <c r="AH66" s="126"/>
      <c r="AI66" s="126"/>
      <c r="AJ66" s="126"/>
      <c r="AK66" s="126"/>
      <c r="AL66" s="126"/>
      <c r="AM66" s="134"/>
      <c r="AN66" s="73"/>
    </row>
    <row r="67">
      <c r="A67" s="121"/>
      <c r="B67" s="157" t="s">
        <v>85</v>
      </c>
      <c r="C67" s="123"/>
      <c r="D67" s="123"/>
      <c r="E67" s="160" t="s">
        <v>86</v>
      </c>
      <c r="F67" s="121">
        <f>G67*12200</f>
        <v>559931200</v>
      </c>
      <c r="G67" s="161">
        <v>45896.0</v>
      </c>
      <c r="H67" s="9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  <c r="AM67" s="134">
        <v>5.599312E8</v>
      </c>
      <c r="AN67" s="73"/>
    </row>
    <row r="68">
      <c r="A68" s="127" t="s">
        <v>58</v>
      </c>
      <c r="B68" s="117"/>
      <c r="C68" s="117"/>
      <c r="D68" s="117"/>
      <c r="E68" s="118"/>
      <c r="F68" s="156">
        <f t="shared" ref="F68:G68" si="7">SUM(F60:F67)</f>
        <v>840063675</v>
      </c>
      <c r="G68" s="156">
        <f t="shared" si="7"/>
        <v>58443</v>
      </c>
      <c r="H68" s="9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  <c r="AB68" s="126"/>
      <c r="AC68" s="126"/>
      <c r="AD68" s="126"/>
      <c r="AE68" s="126"/>
      <c r="AF68" s="126"/>
      <c r="AG68" s="126"/>
      <c r="AH68" s="126"/>
      <c r="AI68" s="126"/>
      <c r="AJ68" s="126"/>
      <c r="AK68" s="126"/>
      <c r="AL68" s="126"/>
      <c r="AM68" s="126"/>
      <c r="AN68" s="73"/>
    </row>
    <row r="69">
      <c r="A69" s="136"/>
      <c r="B69" s="137" t="s">
        <v>42</v>
      </c>
      <c r="C69" s="117"/>
      <c r="D69" s="117"/>
      <c r="E69" s="117"/>
      <c r="F69" s="138"/>
      <c r="G69" s="138"/>
      <c r="H69" s="96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73"/>
    </row>
    <row r="70">
      <c r="A70" s="121"/>
      <c r="B70" s="122"/>
      <c r="C70" s="123"/>
      <c r="D70" s="123"/>
      <c r="E70" s="124"/>
      <c r="F70" s="121"/>
      <c r="G70" s="121"/>
      <c r="H70" s="9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  <c r="AB70" s="126"/>
      <c r="AC70" s="126"/>
      <c r="AD70" s="126"/>
      <c r="AE70" s="126"/>
      <c r="AF70" s="126"/>
      <c r="AG70" s="126"/>
      <c r="AH70" s="126"/>
      <c r="AI70" s="126"/>
      <c r="AJ70" s="126"/>
      <c r="AK70" s="126"/>
      <c r="AL70" s="126"/>
      <c r="AM70" s="126"/>
      <c r="AN70" s="73"/>
    </row>
    <row r="71">
      <c r="A71" s="121"/>
      <c r="B71" s="122"/>
      <c r="C71" s="123"/>
      <c r="D71" s="123"/>
      <c r="E71" s="124"/>
      <c r="F71" s="161"/>
      <c r="G71" s="161"/>
      <c r="H71" s="96"/>
      <c r="I71" s="126"/>
      <c r="J71" s="126"/>
      <c r="K71" s="134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Z71" s="126"/>
      <c r="AA71" s="126"/>
      <c r="AB71" s="126"/>
      <c r="AC71" s="126"/>
      <c r="AD71" s="126"/>
      <c r="AE71" s="126"/>
      <c r="AF71" s="126"/>
      <c r="AG71" s="126"/>
      <c r="AH71" s="126"/>
      <c r="AI71" s="126"/>
      <c r="AJ71" s="126"/>
      <c r="AK71" s="126"/>
      <c r="AL71" s="126"/>
      <c r="AM71" s="126"/>
      <c r="AN71" s="73"/>
    </row>
    <row r="72">
      <c r="A72" s="121"/>
      <c r="B72" s="122"/>
      <c r="C72" s="123"/>
      <c r="D72" s="123"/>
      <c r="E72" s="124"/>
      <c r="F72" s="121"/>
      <c r="G72" s="121"/>
      <c r="H72" s="9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Z72" s="126"/>
      <c r="AA72" s="126"/>
      <c r="AB72" s="126"/>
      <c r="AC72" s="126"/>
      <c r="AD72" s="126"/>
      <c r="AE72" s="126"/>
      <c r="AF72" s="126"/>
      <c r="AG72" s="126"/>
      <c r="AH72" s="126"/>
      <c r="AI72" s="126"/>
      <c r="AJ72" s="126"/>
      <c r="AK72" s="126"/>
      <c r="AL72" s="126"/>
      <c r="AM72" s="126"/>
      <c r="AN72" s="73"/>
    </row>
    <row r="73">
      <c r="A73" s="121"/>
      <c r="B73" s="122"/>
      <c r="C73" s="123"/>
      <c r="D73" s="123"/>
      <c r="E73" s="124"/>
      <c r="F73" s="121" t="str">
        <f t="shared" ref="F73:G73" si="8">Q73</f>
        <v/>
      </c>
      <c r="G73" s="121" t="str">
        <f t="shared" si="8"/>
        <v/>
      </c>
      <c r="H73" s="9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126"/>
      <c r="Z73" s="126"/>
      <c r="AA73" s="126"/>
      <c r="AB73" s="126"/>
      <c r="AC73" s="126"/>
      <c r="AD73" s="126"/>
      <c r="AE73" s="126"/>
      <c r="AF73" s="126"/>
      <c r="AG73" s="126"/>
      <c r="AH73" s="126"/>
      <c r="AI73" s="126"/>
      <c r="AJ73" s="126"/>
      <c r="AK73" s="126"/>
      <c r="AL73" s="126"/>
      <c r="AM73" s="126"/>
      <c r="AN73" s="73"/>
    </row>
    <row r="74">
      <c r="A74" s="121"/>
      <c r="B74" s="122"/>
      <c r="C74" s="123"/>
      <c r="D74" s="123"/>
      <c r="E74" s="124"/>
      <c r="F74" s="121"/>
      <c r="G74" s="121"/>
      <c r="H74" s="9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6"/>
      <c r="AL74" s="126"/>
      <c r="AM74" s="126"/>
      <c r="AN74" s="73"/>
    </row>
    <row r="75">
      <c r="A75" s="121"/>
      <c r="B75" s="122"/>
      <c r="C75" s="123"/>
      <c r="D75" s="123"/>
      <c r="E75" s="124"/>
      <c r="F75" s="121"/>
      <c r="G75" s="121"/>
      <c r="H75" s="9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126"/>
      <c r="Z75" s="126"/>
      <c r="AA75" s="126"/>
      <c r="AB75" s="126"/>
      <c r="AC75" s="126"/>
      <c r="AD75" s="126"/>
      <c r="AE75" s="126"/>
      <c r="AF75" s="126"/>
      <c r="AG75" s="126"/>
      <c r="AH75" s="126"/>
      <c r="AI75" s="126"/>
      <c r="AJ75" s="126"/>
      <c r="AK75" s="126"/>
      <c r="AL75" s="126"/>
      <c r="AM75" s="126"/>
      <c r="AN75" s="73"/>
    </row>
    <row r="76">
      <c r="A76" s="121"/>
      <c r="B76" s="122"/>
      <c r="C76" s="123"/>
      <c r="D76" s="123"/>
      <c r="E76" s="124"/>
      <c r="F76" s="121"/>
      <c r="G76" s="121"/>
      <c r="H76" s="9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Z76" s="126"/>
      <c r="AA76" s="126"/>
      <c r="AB76" s="126"/>
      <c r="AC76" s="126"/>
      <c r="AD76" s="126"/>
      <c r="AE76" s="126"/>
      <c r="AF76" s="126"/>
      <c r="AG76" s="126"/>
      <c r="AH76" s="126"/>
      <c r="AI76" s="126"/>
      <c r="AJ76" s="126"/>
      <c r="AK76" s="126"/>
      <c r="AL76" s="126"/>
      <c r="AM76" s="126"/>
      <c r="AN76" s="73"/>
    </row>
    <row r="77">
      <c r="A77" s="127" t="s">
        <v>58</v>
      </c>
      <c r="B77" s="117"/>
      <c r="C77" s="117"/>
      <c r="D77" s="117"/>
      <c r="E77" s="118"/>
      <c r="F77" s="156">
        <f t="shared" ref="F77:G77" si="9">SUM(F70:F76)</f>
        <v>0</v>
      </c>
      <c r="G77" s="156">
        <f t="shared" si="9"/>
        <v>0</v>
      </c>
      <c r="H77" s="9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Z77" s="126"/>
      <c r="AA77" s="126"/>
      <c r="AB77" s="126"/>
      <c r="AC77" s="126"/>
      <c r="AD77" s="126"/>
      <c r="AE77" s="126"/>
      <c r="AF77" s="126"/>
      <c r="AG77" s="126"/>
      <c r="AH77" s="126"/>
      <c r="AI77" s="126"/>
      <c r="AJ77" s="126"/>
      <c r="AK77" s="126"/>
      <c r="AL77" s="126"/>
      <c r="AM77" s="126"/>
      <c r="AN77" s="73"/>
    </row>
    <row r="78">
      <c r="A78" s="141" t="s">
        <v>67</v>
      </c>
      <c r="B78" s="117"/>
      <c r="C78" s="117"/>
      <c r="D78" s="117"/>
      <c r="E78" s="118"/>
      <c r="F78" s="142">
        <f t="shared" ref="F78:G78" si="10">F58+F68+F77</f>
        <v>840063675</v>
      </c>
      <c r="G78" s="142">
        <f t="shared" si="10"/>
        <v>58443</v>
      </c>
      <c r="H78" s="163"/>
      <c r="I78" s="146">
        <f t="shared" ref="I78:AM78" si="11">SUM(I48:I77)</f>
        <v>0</v>
      </c>
      <c r="J78" s="146">
        <f t="shared" si="11"/>
        <v>0</v>
      </c>
      <c r="K78" s="146">
        <f t="shared" si="11"/>
        <v>0</v>
      </c>
      <c r="L78" s="146">
        <f t="shared" si="11"/>
        <v>0</v>
      </c>
      <c r="M78" s="146">
        <f t="shared" si="11"/>
        <v>0</v>
      </c>
      <c r="N78" s="146">
        <f t="shared" si="11"/>
        <v>0</v>
      </c>
      <c r="O78" s="146">
        <f t="shared" si="11"/>
        <v>0</v>
      </c>
      <c r="P78" s="146">
        <f t="shared" si="11"/>
        <v>65106723</v>
      </c>
      <c r="Q78" s="146">
        <f t="shared" si="11"/>
        <v>0</v>
      </c>
      <c r="R78" s="146">
        <f t="shared" si="11"/>
        <v>0</v>
      </c>
      <c r="S78" s="146">
        <f t="shared" si="11"/>
        <v>0</v>
      </c>
      <c r="T78" s="146">
        <f t="shared" si="11"/>
        <v>0</v>
      </c>
      <c r="U78" s="146">
        <f t="shared" si="11"/>
        <v>0</v>
      </c>
      <c r="V78" s="146">
        <f t="shared" si="11"/>
        <v>0</v>
      </c>
      <c r="W78" s="146">
        <f t="shared" si="11"/>
        <v>0</v>
      </c>
      <c r="X78" s="146">
        <f t="shared" si="11"/>
        <v>0</v>
      </c>
      <c r="Y78" s="146">
        <f t="shared" si="11"/>
        <v>0</v>
      </c>
      <c r="Z78" s="146">
        <f t="shared" si="11"/>
        <v>0</v>
      </c>
      <c r="AA78" s="146">
        <f t="shared" si="11"/>
        <v>0</v>
      </c>
      <c r="AB78" s="146">
        <f t="shared" si="11"/>
        <v>0</v>
      </c>
      <c r="AC78" s="146">
        <f t="shared" si="11"/>
        <v>0</v>
      </c>
      <c r="AD78" s="146">
        <f t="shared" si="11"/>
        <v>0</v>
      </c>
      <c r="AE78" s="146">
        <f t="shared" si="11"/>
        <v>0</v>
      </c>
      <c r="AF78" s="146">
        <f t="shared" si="11"/>
        <v>0</v>
      </c>
      <c r="AG78" s="146">
        <f t="shared" si="11"/>
        <v>0</v>
      </c>
      <c r="AH78" s="146">
        <f t="shared" si="11"/>
        <v>0</v>
      </c>
      <c r="AI78" s="146">
        <f t="shared" si="11"/>
        <v>0</v>
      </c>
      <c r="AJ78" s="146">
        <f t="shared" si="11"/>
        <v>0</v>
      </c>
      <c r="AK78" s="146">
        <f t="shared" si="11"/>
        <v>0</v>
      </c>
      <c r="AL78" s="146">
        <f t="shared" si="11"/>
        <v>0</v>
      </c>
      <c r="AM78" s="146">
        <f t="shared" si="11"/>
        <v>774956952</v>
      </c>
      <c r="AN78" s="144"/>
    </row>
    <row r="79">
      <c r="A79" s="96"/>
      <c r="B79" s="96"/>
      <c r="C79" s="96"/>
      <c r="D79" s="96"/>
      <c r="E79" s="96"/>
      <c r="F79" s="96"/>
      <c r="G79" s="96"/>
      <c r="H79" s="96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</row>
    <row r="80">
      <c r="A80" s="96"/>
      <c r="B80" s="96"/>
      <c r="C80" s="96"/>
      <c r="D80" s="96"/>
      <c r="E80" s="96"/>
      <c r="F80" s="96"/>
      <c r="G80" s="96"/>
      <c r="H80" s="96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</row>
    <row r="81">
      <c r="A81" s="96"/>
      <c r="B81" s="96"/>
      <c r="C81" s="96"/>
      <c r="D81" s="96"/>
      <c r="E81" s="96"/>
      <c r="F81" s="96"/>
      <c r="G81" s="96"/>
      <c r="H81" s="96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</row>
    <row r="82">
      <c r="A82" s="96"/>
      <c r="B82" s="96"/>
      <c r="C82" s="96"/>
      <c r="D82" s="96"/>
      <c r="E82" s="96"/>
      <c r="F82" s="96"/>
      <c r="G82" s="96"/>
      <c r="H82" s="96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</row>
    <row r="83">
      <c r="A83" s="96"/>
      <c r="B83" s="96"/>
      <c r="C83" s="96"/>
      <c r="D83" s="96"/>
      <c r="E83" s="96"/>
      <c r="F83" s="96"/>
      <c r="G83" s="96"/>
      <c r="H83" s="96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</row>
    <row r="84">
      <c r="A84" s="96"/>
      <c r="B84" s="96"/>
      <c r="C84" s="96"/>
      <c r="D84" s="96"/>
      <c r="E84" s="96"/>
      <c r="F84" s="96"/>
      <c r="G84" s="96"/>
      <c r="H84" s="96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</row>
    <row r="85">
      <c r="A85" s="96"/>
      <c r="B85" s="96"/>
      <c r="C85" s="96"/>
      <c r="D85" s="96"/>
      <c r="E85" s="96"/>
      <c r="F85" s="96"/>
      <c r="G85" s="96"/>
      <c r="H85" s="96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</row>
    <row r="86">
      <c r="B86" s="164">
        <v>3.71541E9</v>
      </c>
      <c r="C86" s="96">
        <f>B86*12/112</f>
        <v>398079642.9</v>
      </c>
      <c r="D86" s="96"/>
      <c r="E86" s="96">
        <f>B86-C86</f>
        <v>3317330357</v>
      </c>
      <c r="F86" s="96"/>
      <c r="G86" s="96"/>
      <c r="H86" s="96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</row>
    <row r="87">
      <c r="A87" s="96"/>
      <c r="B87" s="96"/>
      <c r="C87" s="96"/>
      <c r="D87" s="96"/>
      <c r="E87" s="96"/>
      <c r="F87" s="96"/>
      <c r="G87" s="96"/>
      <c r="H87" s="96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</row>
    <row r="88">
      <c r="A88" s="96"/>
      <c r="B88" s="165">
        <v>3.312805584E9</v>
      </c>
      <c r="C88" s="96">
        <f t="shared" ref="C88:C89" si="12">B88*12/112</f>
        <v>354943455.4</v>
      </c>
      <c r="D88" s="96">
        <f>B88+B89</f>
        <v>3379055824</v>
      </c>
      <c r="E88" s="96">
        <f>E86-D88</f>
        <v>-61725466.86</v>
      </c>
      <c r="F88" s="96"/>
      <c r="G88" s="96"/>
      <c r="H88" s="96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</row>
    <row r="89">
      <c r="A89" s="96"/>
      <c r="B89" s="165">
        <v>6.625024E7</v>
      </c>
      <c r="C89" s="96">
        <f t="shared" si="12"/>
        <v>7098240</v>
      </c>
      <c r="D89" s="96"/>
      <c r="E89" s="96"/>
      <c r="F89" s="96"/>
      <c r="G89" s="96"/>
      <c r="H89" s="96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</row>
    <row r="90">
      <c r="A90" s="96"/>
      <c r="B90" s="96"/>
      <c r="C90" s="96">
        <f>SUM(C88:C89)</f>
        <v>362041695.4</v>
      </c>
      <c r="D90" s="96"/>
      <c r="E90" s="96"/>
      <c r="F90" s="96"/>
      <c r="G90" s="96"/>
      <c r="H90" s="96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</row>
    <row r="91">
      <c r="A91" s="96"/>
      <c r="B91" s="96"/>
      <c r="C91" s="96"/>
      <c r="D91" s="96"/>
      <c r="E91" s="96"/>
      <c r="F91" s="96"/>
      <c r="G91" s="96"/>
      <c r="H91" s="96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</row>
    <row r="92">
      <c r="A92" s="96"/>
      <c r="B92" s="96"/>
      <c r="C92" s="96">
        <f>C86-C90</f>
        <v>36037947.43</v>
      </c>
      <c r="D92" s="96"/>
      <c r="E92" s="96"/>
      <c r="F92" s="96"/>
      <c r="G92" s="96"/>
      <c r="H92" s="96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</row>
    <row r="93">
      <c r="A93" s="96"/>
      <c r="B93" s="96"/>
      <c r="C93" s="96"/>
      <c r="D93" s="96"/>
      <c r="E93" s="96"/>
      <c r="F93" s="96"/>
      <c r="G93" s="96"/>
      <c r="H93" s="96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</row>
    <row r="94">
      <c r="A94" s="96"/>
      <c r="B94" s="96"/>
      <c r="C94" s="96"/>
      <c r="D94" s="96"/>
      <c r="E94" s="96"/>
      <c r="F94" s="96"/>
      <c r="G94" s="96"/>
      <c r="H94" s="96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</row>
    <row r="95">
      <c r="A95" s="96"/>
      <c r="B95" s="96"/>
      <c r="C95" s="96"/>
      <c r="D95" s="96"/>
      <c r="E95" s="96"/>
      <c r="F95" s="96"/>
      <c r="G95" s="96"/>
      <c r="H95" s="96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  <c r="AI95" s="73"/>
      <c r="AJ95" s="73"/>
      <c r="AK95" s="73"/>
      <c r="AL95" s="73"/>
      <c r="AM95" s="73"/>
      <c r="AN95" s="73"/>
    </row>
    <row r="96">
      <c r="A96" s="96"/>
      <c r="B96" s="96"/>
      <c r="C96" s="96"/>
      <c r="D96" s="96"/>
      <c r="E96" s="96"/>
      <c r="F96" s="96"/>
      <c r="G96" s="96"/>
      <c r="H96" s="96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  <c r="AI96" s="73"/>
      <c r="AJ96" s="73"/>
      <c r="AK96" s="73"/>
      <c r="AL96" s="73"/>
      <c r="AM96" s="73"/>
      <c r="AN96" s="73"/>
    </row>
    <row r="97">
      <c r="A97" s="96"/>
      <c r="B97" s="96"/>
      <c r="C97" s="96"/>
      <c r="D97" s="96"/>
      <c r="E97" s="96"/>
      <c r="F97" s="96"/>
      <c r="G97" s="96"/>
      <c r="H97" s="96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</row>
    <row r="98">
      <c r="A98" s="96"/>
      <c r="B98" s="96"/>
      <c r="C98" s="96"/>
      <c r="D98" s="96"/>
      <c r="E98" s="96"/>
      <c r="F98" s="96"/>
      <c r="G98" s="96"/>
      <c r="H98" s="96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</row>
    <row r="99">
      <c r="A99" s="96"/>
      <c r="B99" s="96"/>
      <c r="C99" s="96"/>
      <c r="D99" s="96"/>
      <c r="E99" s="96"/>
      <c r="F99" s="96"/>
      <c r="G99" s="96"/>
      <c r="H99" s="96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  <c r="AI99" s="73"/>
      <c r="AJ99" s="73"/>
      <c r="AK99" s="73"/>
      <c r="AL99" s="73"/>
      <c r="AM99" s="73"/>
      <c r="AN99" s="73"/>
    </row>
    <row r="100">
      <c r="A100" s="96"/>
      <c r="B100" s="96"/>
      <c r="C100" s="96"/>
      <c r="D100" s="96"/>
      <c r="E100" s="96"/>
      <c r="F100" s="96"/>
      <c r="G100" s="96"/>
      <c r="H100" s="96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</row>
    <row r="101"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</row>
    <row r="102"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</row>
    <row r="103"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</row>
    <row r="104"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</row>
    <row r="105"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</row>
    <row r="106"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</row>
    <row r="107"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</row>
    <row r="108"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</row>
    <row r="109"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</row>
    <row r="110"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</row>
    <row r="111"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</row>
    <row r="112"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</row>
    <row r="113"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</row>
    <row r="114"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</row>
    <row r="115"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</row>
    <row r="116"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</row>
    <row r="117"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</row>
    <row r="118"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</row>
    <row r="119"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</row>
    <row r="120"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</row>
    <row r="121"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</row>
    <row r="122"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</row>
    <row r="123"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</row>
    <row r="124"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</row>
    <row r="125"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</row>
    <row r="126"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</row>
    <row r="127"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</row>
    <row r="128"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</row>
    <row r="129"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</row>
    <row r="130"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</row>
    <row r="131"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</row>
    <row r="132"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</row>
    <row r="133"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</row>
    <row r="134"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</row>
    <row r="135"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</row>
    <row r="136"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</row>
    <row r="137"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</row>
    <row r="138"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</row>
    <row r="139"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</row>
    <row r="140"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</row>
    <row r="141"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</row>
    <row r="142"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</row>
    <row r="143"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</row>
    <row r="144"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</row>
    <row r="145"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</row>
    <row r="146"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</row>
    <row r="147"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</row>
    <row r="148"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</row>
    <row r="149"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</row>
    <row r="150"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</row>
    <row r="151"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</row>
    <row r="152"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</row>
    <row r="153"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</row>
    <row r="154"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</row>
    <row r="155"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</row>
    <row r="156"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</row>
    <row r="157"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</row>
    <row r="158"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</row>
    <row r="159"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</row>
    <row r="160"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</row>
    <row r="161"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</row>
    <row r="162"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</row>
    <row r="163"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</row>
    <row r="164"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</row>
    <row r="165"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</row>
    <row r="166"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</row>
    <row r="167"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</row>
    <row r="168"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</row>
    <row r="169"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</row>
    <row r="170"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</row>
    <row r="171"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</row>
    <row r="172"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</row>
    <row r="173"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</row>
    <row r="174"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</row>
    <row r="175"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</row>
    <row r="176"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</row>
    <row r="177"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</row>
    <row r="178"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</row>
    <row r="179"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</row>
    <row r="180"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</row>
    <row r="181"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</row>
    <row r="182"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</row>
    <row r="183"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</row>
    <row r="184"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</row>
    <row r="185"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</row>
    <row r="186"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</row>
    <row r="187"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</row>
    <row r="188"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</row>
    <row r="189"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</row>
    <row r="190"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</row>
    <row r="191"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</row>
    <row r="192"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</row>
    <row r="193"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</row>
    <row r="194"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</row>
    <row r="195"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</row>
    <row r="196"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</row>
    <row r="197"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</row>
    <row r="198"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</row>
    <row r="199"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</row>
    <row r="200"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</row>
    <row r="201"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</row>
    <row r="202"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</row>
    <row r="203"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</row>
    <row r="204"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</row>
    <row r="205"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</row>
    <row r="206"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</row>
    <row r="207"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</row>
    <row r="208"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</row>
    <row r="209"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</row>
    <row r="210"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</row>
    <row r="211"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</row>
    <row r="212"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</row>
    <row r="213"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</row>
    <row r="214"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</row>
    <row r="215"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</row>
    <row r="216"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</row>
    <row r="217"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</row>
    <row r="218"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</row>
    <row r="219"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</row>
    <row r="220"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</row>
    <row r="221"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</row>
    <row r="222"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</row>
    <row r="223"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</row>
    <row r="224"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</row>
    <row r="225"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</row>
    <row r="226"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</row>
    <row r="227"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</row>
    <row r="228"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</row>
    <row r="229"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</row>
    <row r="230"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</row>
    <row r="231"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</row>
    <row r="232"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</row>
    <row r="233"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</row>
    <row r="234"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</row>
    <row r="235"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</row>
    <row r="236"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</row>
    <row r="237"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</row>
    <row r="238"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</row>
    <row r="239"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</row>
    <row r="240"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</row>
    <row r="241"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</row>
    <row r="242"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</row>
    <row r="243"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</row>
    <row r="244"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</row>
    <row r="245"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</row>
    <row r="246"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</row>
    <row r="247"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</row>
    <row r="248"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</row>
    <row r="249"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</row>
    <row r="250"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</row>
    <row r="251"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</row>
    <row r="252"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</row>
    <row r="253"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</row>
    <row r="254"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</row>
    <row r="255"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</row>
    <row r="256"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</row>
    <row r="257"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</row>
    <row r="258"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</row>
    <row r="259"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</row>
    <row r="260"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</row>
    <row r="261"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</row>
    <row r="262"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</row>
    <row r="263"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</row>
    <row r="264"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</row>
    <row r="265"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</row>
    <row r="266"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</row>
    <row r="267"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</row>
    <row r="268"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</row>
    <row r="269"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</row>
    <row r="270"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</row>
    <row r="271"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</row>
    <row r="272"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</row>
    <row r="273"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</row>
    <row r="274"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</row>
    <row r="275"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</row>
    <row r="276"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</row>
    <row r="277"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</row>
    <row r="278"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</row>
    <row r="279"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</row>
    <row r="280"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</row>
    <row r="281"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</row>
    <row r="282"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</row>
    <row r="283"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</row>
    <row r="284"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</row>
    <row r="285"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</row>
    <row r="286"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</row>
    <row r="287"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</row>
    <row r="288"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</row>
    <row r="289"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</row>
    <row r="290"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</row>
    <row r="291"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</row>
    <row r="292"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</row>
    <row r="293"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</row>
    <row r="294"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</row>
    <row r="295"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</row>
    <row r="296"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</row>
    <row r="297"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</row>
    <row r="298"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</row>
    <row r="299"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</row>
    <row r="300"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</row>
    <row r="301"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</row>
    <row r="302"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</row>
    <row r="303"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</row>
    <row r="304"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</row>
    <row r="305"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</row>
    <row r="306"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</row>
    <row r="307"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</row>
    <row r="308"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</row>
    <row r="309"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</row>
    <row r="310"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</row>
    <row r="311"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</row>
    <row r="312"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</row>
    <row r="313"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</row>
    <row r="314"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</row>
    <row r="315"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</row>
    <row r="316"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</row>
    <row r="317"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</row>
    <row r="318"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</row>
    <row r="319"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</row>
    <row r="320"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</row>
    <row r="321"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</row>
    <row r="322"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</row>
    <row r="323"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</row>
    <row r="324"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</row>
    <row r="325"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</row>
    <row r="326"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</row>
    <row r="327"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</row>
    <row r="328"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</row>
    <row r="329"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</row>
    <row r="330"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</row>
    <row r="331"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</row>
    <row r="332"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</row>
    <row r="333"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</row>
    <row r="334"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</row>
    <row r="335"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</row>
    <row r="336"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</row>
    <row r="337"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</row>
    <row r="338"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</row>
    <row r="339"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</row>
    <row r="340"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</row>
    <row r="341"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</row>
    <row r="342"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</row>
    <row r="343"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</row>
    <row r="344"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</row>
    <row r="345"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</row>
    <row r="346"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</row>
    <row r="347"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</row>
    <row r="348"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</row>
    <row r="349"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</row>
    <row r="350"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</row>
    <row r="351"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</row>
    <row r="352"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</row>
    <row r="353"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</row>
    <row r="354"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</row>
    <row r="355"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</row>
    <row r="356"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</row>
    <row r="357"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</row>
    <row r="358"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</row>
    <row r="359"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</row>
    <row r="360"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</row>
    <row r="361"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</row>
    <row r="362"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</row>
    <row r="363"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</row>
    <row r="364"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</row>
    <row r="365"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</row>
    <row r="366"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</row>
    <row r="367"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</row>
    <row r="368"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</row>
    <row r="369"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</row>
    <row r="370"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</row>
    <row r="371"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</row>
    <row r="372"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</row>
    <row r="373"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</row>
    <row r="374"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</row>
    <row r="375"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</row>
    <row r="376"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</row>
    <row r="377"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</row>
    <row r="378"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</row>
    <row r="379"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</row>
    <row r="380"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</row>
    <row r="381"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</row>
    <row r="382"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</row>
    <row r="383"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</row>
    <row r="384"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</row>
    <row r="385"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</row>
    <row r="386"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</row>
    <row r="387"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</row>
    <row r="388"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</row>
    <row r="389"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</row>
    <row r="390"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</row>
    <row r="391"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</row>
    <row r="392"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</row>
    <row r="393"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</row>
    <row r="394"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</row>
    <row r="395"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</row>
    <row r="396"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</row>
    <row r="397"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</row>
    <row r="398"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</row>
    <row r="399"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</row>
    <row r="400"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</row>
    <row r="401"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</row>
    <row r="402"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</row>
    <row r="403"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</row>
    <row r="404"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</row>
    <row r="405"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</row>
    <row r="406"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</row>
    <row r="407"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</row>
    <row r="408"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</row>
    <row r="409"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</row>
    <row r="410"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</row>
    <row r="411"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</row>
    <row r="412"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</row>
    <row r="413"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</row>
    <row r="414"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</row>
    <row r="415"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</row>
    <row r="416"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</row>
    <row r="417"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</row>
    <row r="418"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</row>
    <row r="419"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</row>
    <row r="420"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</row>
    <row r="421"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</row>
    <row r="422"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</row>
    <row r="423"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</row>
    <row r="424"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</row>
    <row r="425"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</row>
    <row r="426"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</row>
    <row r="427"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</row>
    <row r="428"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</row>
    <row r="429"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</row>
    <row r="430"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</row>
    <row r="431"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</row>
    <row r="432"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</row>
    <row r="433"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</row>
    <row r="434"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</row>
    <row r="435"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</row>
    <row r="436"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</row>
    <row r="437"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</row>
    <row r="438"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</row>
    <row r="439"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</row>
    <row r="440"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</row>
    <row r="441"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</row>
    <row r="442"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</row>
    <row r="443"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</row>
    <row r="444"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</row>
    <row r="445"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</row>
    <row r="446"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</row>
    <row r="447"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</row>
    <row r="448"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</row>
    <row r="449"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</row>
    <row r="450"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</row>
    <row r="451"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</row>
    <row r="452"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</row>
    <row r="453"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</row>
    <row r="454"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</row>
    <row r="455"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</row>
    <row r="456"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</row>
    <row r="457"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</row>
    <row r="458"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</row>
    <row r="459"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</row>
    <row r="460"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</row>
    <row r="461"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</row>
    <row r="462"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</row>
    <row r="463"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</row>
    <row r="464"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</row>
    <row r="465"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</row>
    <row r="466"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</row>
    <row r="467"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</row>
    <row r="468"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</row>
    <row r="469"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</row>
    <row r="470"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</row>
    <row r="471"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</row>
    <row r="472"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</row>
    <row r="473"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</row>
    <row r="474"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</row>
    <row r="475"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</row>
    <row r="476"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</row>
    <row r="477"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</row>
    <row r="478"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</row>
    <row r="479"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</row>
    <row r="480"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</row>
    <row r="481"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</row>
    <row r="482"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</row>
    <row r="483"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</row>
    <row r="484"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</row>
    <row r="485"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</row>
    <row r="486"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</row>
    <row r="487"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</row>
    <row r="488"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</row>
    <row r="489"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</row>
    <row r="490"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</row>
    <row r="491"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</row>
    <row r="492"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</row>
    <row r="493"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</row>
    <row r="494"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</row>
    <row r="495"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</row>
    <row r="496"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</row>
    <row r="497"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</row>
    <row r="498"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</row>
    <row r="499"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</row>
    <row r="500"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</row>
    <row r="501"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</row>
    <row r="502"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</row>
    <row r="503"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</row>
    <row r="504"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</row>
    <row r="505"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</row>
    <row r="506"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</row>
    <row r="507"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</row>
    <row r="508"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</row>
    <row r="509"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</row>
    <row r="510"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</row>
    <row r="511"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</row>
    <row r="512"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</row>
    <row r="513"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</row>
    <row r="514"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</row>
    <row r="515"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</row>
    <row r="516"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</row>
    <row r="517"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</row>
    <row r="518"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</row>
    <row r="519"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</row>
    <row r="520"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</row>
    <row r="521"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</row>
    <row r="522"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</row>
    <row r="523"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</row>
    <row r="524"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</row>
    <row r="525"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</row>
    <row r="526"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</row>
    <row r="527"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</row>
    <row r="528"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</row>
    <row r="529"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</row>
    <row r="530"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</row>
    <row r="531"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</row>
    <row r="532"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</row>
    <row r="533"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</row>
    <row r="534"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</row>
    <row r="535"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</row>
    <row r="536"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</row>
    <row r="537"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</row>
    <row r="538"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</row>
    <row r="539"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</row>
    <row r="540"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</row>
    <row r="541"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</row>
    <row r="542"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</row>
    <row r="543"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</row>
    <row r="544"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</row>
    <row r="545"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</row>
    <row r="546"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</row>
    <row r="547"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</row>
    <row r="548"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</row>
    <row r="549"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</row>
    <row r="550"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</row>
    <row r="551"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</row>
    <row r="552"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</row>
    <row r="553"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</row>
    <row r="554"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</row>
    <row r="555"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</row>
    <row r="556"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</row>
    <row r="557"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</row>
    <row r="558"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</row>
    <row r="559"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</row>
    <row r="560"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</row>
    <row r="561"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</row>
    <row r="562"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</row>
    <row r="563"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</row>
    <row r="564"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</row>
    <row r="565"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</row>
    <row r="566"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</row>
    <row r="567"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</row>
    <row r="568"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</row>
    <row r="569"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</row>
    <row r="570"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</row>
    <row r="571"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</row>
    <row r="572"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</row>
    <row r="573"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</row>
    <row r="574"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</row>
    <row r="575"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</row>
    <row r="576"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</row>
    <row r="577"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</row>
    <row r="578"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</row>
    <row r="579"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</row>
    <row r="580"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</row>
    <row r="581"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</row>
    <row r="582"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</row>
    <row r="583"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</row>
    <row r="584"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</row>
    <row r="585"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</row>
    <row r="586"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</row>
    <row r="587"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</row>
    <row r="588"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</row>
    <row r="589"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</row>
    <row r="590"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</row>
    <row r="591"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</row>
    <row r="592"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</row>
    <row r="593"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</row>
    <row r="594"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</row>
    <row r="595"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</row>
    <row r="596"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</row>
    <row r="597"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</row>
    <row r="598"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</row>
    <row r="599"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</row>
    <row r="600"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</row>
    <row r="601"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</row>
    <row r="602"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</row>
    <row r="603"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</row>
    <row r="604"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</row>
    <row r="605"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</row>
    <row r="606"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</row>
    <row r="607"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</row>
    <row r="608"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</row>
    <row r="609"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</row>
    <row r="610"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</row>
    <row r="611"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</row>
    <row r="612"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</row>
    <row r="613"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</row>
    <row r="614"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</row>
    <row r="615"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</row>
    <row r="616"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</row>
    <row r="617"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</row>
    <row r="618"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</row>
    <row r="619"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</row>
    <row r="620"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</row>
    <row r="621"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</row>
    <row r="622"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</row>
    <row r="623"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</row>
    <row r="624"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</row>
    <row r="625"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</row>
    <row r="626"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</row>
    <row r="627"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</row>
    <row r="628"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</row>
    <row r="629"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</row>
    <row r="630"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</row>
    <row r="631"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</row>
    <row r="632"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</row>
    <row r="633"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</row>
    <row r="634"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</row>
    <row r="635"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</row>
    <row r="636"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</row>
    <row r="637"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</row>
    <row r="638"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</row>
    <row r="639"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</row>
    <row r="640"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</row>
    <row r="641"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</row>
    <row r="642"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</row>
    <row r="643"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</row>
    <row r="644"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</row>
    <row r="645"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</row>
    <row r="646"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</row>
    <row r="647"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</row>
    <row r="648"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</row>
    <row r="649"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</row>
    <row r="650"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</row>
    <row r="651"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</row>
    <row r="652"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</row>
    <row r="653"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</row>
    <row r="654"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</row>
    <row r="655"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</row>
    <row r="656"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</row>
    <row r="657"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</row>
    <row r="658"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</row>
    <row r="659"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</row>
    <row r="660"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</row>
    <row r="661"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</row>
    <row r="662"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</row>
    <row r="663"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</row>
    <row r="664"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</row>
    <row r="665"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</row>
    <row r="666"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</row>
    <row r="667"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</row>
    <row r="668"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</row>
    <row r="669"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</row>
    <row r="670"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</row>
    <row r="671"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</row>
    <row r="672"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</row>
    <row r="673"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</row>
    <row r="674"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</row>
    <row r="675"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</row>
    <row r="676"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</row>
    <row r="677"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</row>
    <row r="678"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</row>
    <row r="679"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</row>
    <row r="680"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</row>
    <row r="681"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</row>
    <row r="682"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</row>
    <row r="683"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</row>
    <row r="684"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</row>
    <row r="685"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</row>
    <row r="686"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</row>
    <row r="687"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</row>
    <row r="688"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</row>
    <row r="689"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</row>
    <row r="690"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</row>
    <row r="691"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</row>
    <row r="692"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</row>
    <row r="693"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</row>
    <row r="694"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</row>
    <row r="695"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</row>
    <row r="696"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</row>
    <row r="697"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</row>
    <row r="698"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</row>
    <row r="699"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</row>
    <row r="700"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</row>
    <row r="701"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</row>
    <row r="702"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</row>
    <row r="703"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</row>
    <row r="704"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</row>
    <row r="705"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</row>
    <row r="706"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</row>
    <row r="707"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</row>
    <row r="708"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</row>
    <row r="709"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</row>
    <row r="710"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</row>
    <row r="711"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</row>
    <row r="712"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</row>
    <row r="713"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</row>
    <row r="714"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</row>
    <row r="715"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</row>
    <row r="716"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</row>
    <row r="717"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</row>
    <row r="718"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</row>
    <row r="719"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</row>
    <row r="720"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</row>
    <row r="721"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</row>
    <row r="722"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</row>
    <row r="723"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</row>
    <row r="724"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</row>
    <row r="725"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</row>
    <row r="726"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</row>
    <row r="727"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</row>
    <row r="728"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</row>
    <row r="729"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</row>
    <row r="730"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</row>
    <row r="731"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</row>
    <row r="732"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</row>
    <row r="733"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</row>
    <row r="734"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</row>
    <row r="735"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</row>
    <row r="736"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</row>
    <row r="737"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</row>
    <row r="738"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</row>
    <row r="739"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</row>
    <row r="740"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</row>
    <row r="741"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</row>
    <row r="742"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</row>
    <row r="743"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</row>
    <row r="744"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</row>
    <row r="745"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</row>
    <row r="746"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</row>
    <row r="747"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</row>
    <row r="748"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</row>
    <row r="749"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</row>
    <row r="750"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</row>
    <row r="751"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</row>
    <row r="752"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</row>
    <row r="753"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</row>
    <row r="754"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</row>
    <row r="755"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</row>
    <row r="756"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</row>
    <row r="757"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</row>
    <row r="758"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</row>
    <row r="759"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</row>
    <row r="760"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</row>
    <row r="761"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</row>
    <row r="762"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</row>
    <row r="763"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</row>
    <row r="764"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</row>
    <row r="765"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</row>
    <row r="766"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</row>
    <row r="767"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</row>
    <row r="768"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</row>
    <row r="769"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</row>
    <row r="770"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</row>
    <row r="771"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</row>
    <row r="772"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</row>
    <row r="773"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</row>
    <row r="774"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</row>
    <row r="775"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</row>
    <row r="776"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</row>
    <row r="777"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</row>
    <row r="778"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</row>
    <row r="779"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</row>
    <row r="780"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</row>
    <row r="781"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</row>
    <row r="782"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</row>
    <row r="783"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</row>
    <row r="784"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</row>
    <row r="785"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</row>
    <row r="786"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</row>
    <row r="787"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</row>
    <row r="788"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</row>
    <row r="789"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</row>
    <row r="790"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</row>
    <row r="791"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</row>
    <row r="792"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</row>
    <row r="793"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</row>
    <row r="794"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</row>
    <row r="795"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</row>
    <row r="796"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</row>
    <row r="797"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</row>
    <row r="798"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</row>
    <row r="799"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</row>
    <row r="800"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</row>
    <row r="801"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</row>
    <row r="802"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</row>
    <row r="803"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</row>
    <row r="804"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</row>
    <row r="805"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</row>
    <row r="806"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</row>
    <row r="807"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</row>
    <row r="808"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</row>
    <row r="809"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</row>
    <row r="810"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</row>
    <row r="811"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</row>
    <row r="812"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</row>
    <row r="813"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</row>
    <row r="814"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</row>
    <row r="815"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</row>
    <row r="816"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</row>
    <row r="817"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</row>
    <row r="818"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</row>
    <row r="819"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</row>
    <row r="820"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</row>
    <row r="821"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</row>
    <row r="822"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</row>
    <row r="823"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</row>
    <row r="824"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</row>
    <row r="825"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</row>
    <row r="826"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</row>
    <row r="827"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</row>
    <row r="828"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</row>
    <row r="829"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</row>
    <row r="830"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</row>
    <row r="831"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</row>
    <row r="832"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</row>
    <row r="833"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</row>
    <row r="834"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</row>
    <row r="835"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</row>
    <row r="836"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</row>
    <row r="837"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</row>
    <row r="838"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</row>
    <row r="839"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</row>
    <row r="840"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</row>
    <row r="841"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</row>
    <row r="842"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</row>
    <row r="843"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</row>
    <row r="844"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</row>
    <row r="845"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</row>
    <row r="846"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</row>
    <row r="847"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</row>
    <row r="848"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</row>
    <row r="849"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</row>
    <row r="850"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</row>
    <row r="851"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</row>
    <row r="852"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</row>
    <row r="853"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</row>
    <row r="854"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</row>
    <row r="855"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</row>
    <row r="856"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</row>
    <row r="857"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</row>
    <row r="858"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</row>
    <row r="859"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</row>
    <row r="860"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</row>
    <row r="861"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</row>
    <row r="862"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</row>
    <row r="863"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</row>
    <row r="864"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</row>
    <row r="865"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</row>
    <row r="866"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</row>
    <row r="867"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</row>
    <row r="868"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</row>
    <row r="869"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</row>
    <row r="870"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</row>
    <row r="871"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</row>
    <row r="872"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</row>
    <row r="873"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</row>
    <row r="874"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</row>
    <row r="875"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</row>
    <row r="876"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</row>
    <row r="877"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</row>
    <row r="878"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</row>
    <row r="879"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</row>
    <row r="880"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</row>
    <row r="881"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</row>
    <row r="882"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</row>
    <row r="883"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</row>
    <row r="884"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</row>
    <row r="885"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</row>
    <row r="886"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</row>
    <row r="887"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</row>
    <row r="888"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</row>
    <row r="889"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</row>
    <row r="890"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</row>
    <row r="891"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</row>
    <row r="892"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</row>
    <row r="893"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</row>
    <row r="894"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</row>
    <row r="895"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</row>
    <row r="896"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</row>
    <row r="897"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</row>
    <row r="898"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</row>
    <row r="899"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</row>
    <row r="900"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</row>
    <row r="901"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</row>
    <row r="902"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</row>
    <row r="903"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</row>
    <row r="904"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</row>
    <row r="905"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</row>
    <row r="906"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</row>
    <row r="907"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</row>
    <row r="908"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</row>
    <row r="909"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</row>
    <row r="910"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</row>
    <row r="911"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</row>
    <row r="912"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</row>
    <row r="913"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</row>
    <row r="914"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</row>
    <row r="915"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</row>
    <row r="916"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</row>
    <row r="917"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</row>
    <row r="918"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</row>
    <row r="919"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</row>
    <row r="920"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</row>
    <row r="921"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</row>
    <row r="922"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</row>
    <row r="923"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</row>
    <row r="924"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</row>
    <row r="925"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</row>
    <row r="926"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</row>
    <row r="927"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</row>
    <row r="928"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</row>
    <row r="929"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</row>
    <row r="930"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</row>
    <row r="931"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</row>
    <row r="932"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</row>
    <row r="933"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</row>
    <row r="934"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</row>
    <row r="935"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</row>
    <row r="936"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</row>
    <row r="937"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</row>
    <row r="938"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</row>
    <row r="939"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</row>
    <row r="940"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</row>
    <row r="941"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</row>
    <row r="942"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</row>
    <row r="943"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</row>
    <row r="944"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</row>
    <row r="945"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</row>
    <row r="946"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</row>
    <row r="947"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</row>
    <row r="948"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</row>
    <row r="949"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</row>
    <row r="950"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</row>
    <row r="951"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</row>
    <row r="952"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</row>
    <row r="953"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</row>
    <row r="954"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</row>
    <row r="955"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</row>
    <row r="956"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</row>
    <row r="957"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</row>
    <row r="958"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</row>
    <row r="959"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</row>
    <row r="960"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</row>
    <row r="961"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</row>
    <row r="962"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</row>
    <row r="963"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</row>
    <row r="964"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</row>
    <row r="965"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</row>
    <row r="966"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</row>
    <row r="967"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</row>
    <row r="968"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</row>
    <row r="969"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</row>
    <row r="970"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</row>
    <row r="971"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</row>
    <row r="972"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</row>
    <row r="973"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</row>
    <row r="974"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</row>
    <row r="975"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</row>
    <row r="976"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</row>
    <row r="977"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</row>
    <row r="978"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</row>
    <row r="979"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</row>
    <row r="980"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</row>
    <row r="981"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</row>
    <row r="982"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</row>
    <row r="983"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</row>
    <row r="984"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</row>
    <row r="985"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</row>
    <row r="986"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</row>
    <row r="987"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</row>
    <row r="988"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</row>
    <row r="989"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</row>
    <row r="990"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</row>
    <row r="991"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</row>
    <row r="992"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</row>
    <row r="993"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</row>
    <row r="994"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</row>
    <row r="995"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</row>
    <row r="996"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</row>
    <row r="997"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</row>
    <row r="998"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</row>
    <row r="999"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</row>
    <row r="1000"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</row>
    <row r="1001"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</row>
    <row r="1002"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</row>
    <row r="1003"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</row>
    <row r="1004"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</row>
    <row r="1005"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</row>
    <row r="1006"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</row>
  </sheetData>
  <mergeCells count="16">
    <mergeCell ref="A6:F6"/>
    <mergeCell ref="A16:E16"/>
    <mergeCell ref="A17:E17"/>
    <mergeCell ref="A26:E26"/>
    <mergeCell ref="A27:E27"/>
    <mergeCell ref="A35:E35"/>
    <mergeCell ref="A36:E36"/>
    <mergeCell ref="A77:E77"/>
    <mergeCell ref="A78:E78"/>
    <mergeCell ref="A44:H44"/>
    <mergeCell ref="A45:B45"/>
    <mergeCell ref="B48:E48"/>
    <mergeCell ref="A58:E58"/>
    <mergeCell ref="B59:E59"/>
    <mergeCell ref="A68:E68"/>
    <mergeCell ref="B69:E6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2.63" defaultRowHeight="15.75"/>
  <cols>
    <col customWidth="1" min="1" max="1" width="6.63"/>
    <col customWidth="1" min="2" max="2" width="36.88"/>
    <col customWidth="1" min="7" max="7" width="4.38"/>
  </cols>
  <sheetData>
    <row r="1">
      <c r="A1" s="166"/>
      <c r="B1" s="167" t="s">
        <v>44</v>
      </c>
      <c r="C1" s="166"/>
      <c r="D1" s="166"/>
      <c r="E1" s="166"/>
      <c r="F1" s="166"/>
    </row>
    <row r="2">
      <c r="A2" s="166"/>
      <c r="B2" s="166"/>
      <c r="C2" s="166"/>
      <c r="D2" s="166"/>
      <c r="E2" s="166"/>
      <c r="F2" s="166"/>
    </row>
    <row r="3">
      <c r="A3" s="166"/>
      <c r="B3" s="168" t="s">
        <v>87</v>
      </c>
      <c r="C3" s="169" t="s">
        <v>46</v>
      </c>
      <c r="D3" s="166"/>
      <c r="E3" s="166"/>
      <c r="F3" s="166"/>
    </row>
    <row r="4">
      <c r="A4" s="166"/>
      <c r="B4" s="166"/>
      <c r="C4" s="166"/>
      <c r="D4" s="166"/>
      <c r="E4" s="166"/>
      <c r="F4" s="166"/>
    </row>
    <row r="5">
      <c r="A5" s="170" t="s">
        <v>47</v>
      </c>
      <c r="B5" s="170" t="s">
        <v>88</v>
      </c>
      <c r="C5" s="170" t="s">
        <v>89</v>
      </c>
      <c r="D5" s="170" t="s">
        <v>90</v>
      </c>
      <c r="E5" s="170" t="s">
        <v>91</v>
      </c>
      <c r="F5" s="170" t="s">
        <v>52</v>
      </c>
      <c r="H5" s="69">
        <v>46143.0</v>
      </c>
      <c r="I5" s="69">
        <v>46144.0</v>
      </c>
      <c r="J5" s="69">
        <v>46145.0</v>
      </c>
      <c r="K5" s="69">
        <v>46146.0</v>
      </c>
      <c r="L5" s="69">
        <v>46147.0</v>
      </c>
      <c r="M5" s="69">
        <v>46148.0</v>
      </c>
      <c r="N5" s="69">
        <v>46149.0</v>
      </c>
      <c r="O5" s="69">
        <v>46150.0</v>
      </c>
      <c r="P5" s="69">
        <v>46151.0</v>
      </c>
      <c r="Q5" s="69">
        <v>46152.0</v>
      </c>
      <c r="R5" s="69">
        <v>46153.0</v>
      </c>
      <c r="S5" s="69">
        <v>46154.0</v>
      </c>
      <c r="T5" s="69">
        <v>46155.0</v>
      </c>
      <c r="U5" s="69">
        <v>46156.0</v>
      </c>
      <c r="V5" s="69">
        <v>46157.0</v>
      </c>
      <c r="W5" s="69">
        <v>46158.0</v>
      </c>
      <c r="X5" s="69">
        <v>46159.0</v>
      </c>
      <c r="Y5" s="69">
        <v>46160.0</v>
      </c>
      <c r="Z5" s="69">
        <v>46161.0</v>
      </c>
      <c r="AA5" s="69">
        <v>46162.0</v>
      </c>
      <c r="AB5" s="69">
        <v>46163.0</v>
      </c>
      <c r="AC5" s="69">
        <v>46164.0</v>
      </c>
      <c r="AD5" s="69">
        <v>46165.0</v>
      </c>
      <c r="AE5" s="69">
        <v>46166.0</v>
      </c>
      <c r="AF5" s="69">
        <v>46167.0</v>
      </c>
      <c r="AG5" s="69">
        <v>46168.0</v>
      </c>
      <c r="AH5" s="69">
        <v>46169.0</v>
      </c>
      <c r="AI5" s="69">
        <v>46170.0</v>
      </c>
      <c r="AJ5" s="69">
        <v>46171.0</v>
      </c>
      <c r="AK5" s="69">
        <v>46172.0</v>
      </c>
      <c r="AL5" s="69">
        <v>46173.0</v>
      </c>
    </row>
    <row r="6">
      <c r="A6" s="171"/>
      <c r="B6" s="171"/>
      <c r="C6" s="171"/>
      <c r="D6" s="171"/>
      <c r="E6" s="171"/>
      <c r="F6" s="171"/>
      <c r="H6" s="75"/>
      <c r="I6" s="75"/>
      <c r="J6" s="75"/>
      <c r="K6" s="75"/>
      <c r="L6" s="75"/>
      <c r="M6" s="75"/>
      <c r="N6" s="75"/>
      <c r="O6" s="75" t="str">
        <f>E6</f>
        <v/>
      </c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6"/>
      <c r="AL6" s="76"/>
    </row>
    <row r="7">
      <c r="A7" s="171"/>
      <c r="B7" s="171"/>
      <c r="C7" s="171"/>
      <c r="D7" s="171"/>
      <c r="E7" s="171"/>
      <c r="F7" s="171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</row>
    <row r="8">
      <c r="A8" s="171"/>
      <c r="B8" s="171"/>
      <c r="C8" s="171"/>
      <c r="D8" s="171"/>
      <c r="E8" s="171"/>
      <c r="F8" s="171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</row>
    <row r="9">
      <c r="A9" s="171"/>
      <c r="B9" s="171"/>
      <c r="C9" s="171"/>
      <c r="D9" s="171"/>
      <c r="E9" s="171"/>
      <c r="F9" s="171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</row>
    <row r="10">
      <c r="A10" s="171"/>
      <c r="B10" s="171"/>
      <c r="C10" s="171"/>
      <c r="D10" s="171"/>
      <c r="E10" s="171"/>
      <c r="F10" s="171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</row>
    <row r="11">
      <c r="A11" s="171"/>
      <c r="B11" s="171"/>
      <c r="C11" s="171"/>
      <c r="D11" s="171"/>
      <c r="E11" s="171"/>
      <c r="F11" s="171"/>
      <c r="H11" s="75"/>
      <c r="I11" s="75"/>
      <c r="J11" s="76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</row>
    <row r="12">
      <c r="A12" s="171"/>
      <c r="B12" s="171"/>
      <c r="C12" s="171"/>
      <c r="D12" s="171"/>
      <c r="E12" s="171"/>
      <c r="F12" s="171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</row>
    <row r="13">
      <c r="A13" s="171"/>
      <c r="B13" s="171"/>
      <c r="C13" s="171"/>
      <c r="D13" s="171"/>
      <c r="E13" s="171"/>
      <c r="F13" s="171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</row>
    <row r="14">
      <c r="A14" s="171"/>
      <c r="B14" s="171"/>
      <c r="C14" s="171"/>
      <c r="D14" s="171"/>
      <c r="E14" s="171"/>
      <c r="F14" s="171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</row>
    <row r="15" ht="14.25" customHeight="1">
      <c r="A15" s="171"/>
      <c r="B15" s="171"/>
      <c r="C15" s="171"/>
      <c r="D15" s="171"/>
      <c r="E15" s="171"/>
      <c r="F15" s="171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</row>
    <row r="16">
      <c r="A16" s="171"/>
      <c r="B16" s="171"/>
      <c r="C16" s="171"/>
      <c r="D16" s="171"/>
      <c r="E16" s="171"/>
      <c r="F16" s="171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</row>
    <row r="17">
      <c r="A17" s="171"/>
      <c r="B17" s="171"/>
      <c r="C17" s="171"/>
      <c r="D17" s="171"/>
      <c r="E17" s="171"/>
      <c r="F17" s="171"/>
      <c r="H17" s="75"/>
      <c r="I17" s="75"/>
      <c r="J17" s="75"/>
      <c r="K17" s="75"/>
      <c r="L17" s="75"/>
      <c r="M17" s="76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</row>
    <row r="18">
      <c r="A18" s="171"/>
      <c r="B18" s="171"/>
      <c r="C18" s="171"/>
      <c r="D18" s="171"/>
      <c r="E18" s="171"/>
      <c r="F18" s="171"/>
      <c r="H18" s="75"/>
      <c r="I18" s="75"/>
      <c r="J18" s="75"/>
      <c r="K18" s="75"/>
      <c r="L18" s="75"/>
      <c r="M18" s="75"/>
      <c r="N18" s="75" t="str">
        <f>E18</f>
        <v/>
      </c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</row>
    <row r="19">
      <c r="A19" s="171"/>
      <c r="B19" s="171"/>
      <c r="C19" s="171"/>
      <c r="D19" s="171"/>
      <c r="E19" s="171"/>
      <c r="F19" s="171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</row>
    <row r="20">
      <c r="A20" s="171"/>
      <c r="B20" s="171"/>
      <c r="C20" s="171"/>
      <c r="D20" s="171"/>
      <c r="E20" s="171"/>
      <c r="F20" s="171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</row>
    <row r="21">
      <c r="A21" s="171"/>
      <c r="B21" s="171"/>
      <c r="C21" s="171"/>
      <c r="D21" s="171"/>
      <c r="E21" s="171"/>
      <c r="F21" s="171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</row>
    <row r="22">
      <c r="A22" s="171"/>
      <c r="B22" s="171"/>
      <c r="C22" s="171"/>
      <c r="D22" s="171"/>
      <c r="E22" s="171"/>
      <c r="F22" s="171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</row>
    <row r="23">
      <c r="A23" s="171"/>
      <c r="B23" s="171"/>
      <c r="C23" s="171"/>
      <c r="D23" s="171"/>
      <c r="E23" s="171"/>
      <c r="F23" s="171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</row>
    <row r="24">
      <c r="A24" s="171"/>
      <c r="B24" s="171"/>
      <c r="C24" s="171"/>
      <c r="D24" s="171"/>
      <c r="E24" s="171"/>
      <c r="F24" s="171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</row>
    <row r="25">
      <c r="A25" s="171"/>
      <c r="B25" s="171"/>
      <c r="C25" s="171"/>
      <c r="D25" s="171"/>
      <c r="E25" s="171"/>
      <c r="F25" s="171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</row>
    <row r="26">
      <c r="A26" s="171"/>
      <c r="B26" s="171"/>
      <c r="C26" s="171"/>
      <c r="D26" s="171"/>
      <c r="E26" s="171"/>
      <c r="F26" s="171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</row>
    <row r="27">
      <c r="A27" s="171"/>
      <c r="B27" s="171"/>
      <c r="C27" s="171"/>
      <c r="D27" s="171"/>
      <c r="E27" s="171"/>
      <c r="F27" s="171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</row>
    <row r="28">
      <c r="A28" s="171"/>
      <c r="B28" s="171"/>
      <c r="C28" s="171"/>
      <c r="D28" s="171"/>
      <c r="E28" s="171"/>
      <c r="F28" s="171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</row>
    <row r="29">
      <c r="A29" s="171"/>
      <c r="B29" s="171"/>
      <c r="C29" s="171"/>
      <c r="D29" s="171"/>
      <c r="E29" s="171"/>
      <c r="F29" s="171"/>
      <c r="H29" s="75"/>
      <c r="I29" s="75"/>
      <c r="J29" s="75"/>
      <c r="K29" s="75"/>
      <c r="L29" s="75"/>
      <c r="M29" s="75"/>
      <c r="N29" s="75"/>
      <c r="O29" s="75"/>
      <c r="P29" s="76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</row>
    <row r="30">
      <c r="A30" s="171"/>
      <c r="B30" s="171"/>
      <c r="C30" s="171"/>
      <c r="D30" s="171"/>
      <c r="E30" s="171"/>
      <c r="F30" s="171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</row>
    <row r="31">
      <c r="A31" s="171"/>
      <c r="B31" s="171"/>
      <c r="C31" s="171"/>
      <c r="D31" s="171"/>
      <c r="E31" s="171"/>
      <c r="F31" s="171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</row>
    <row r="32">
      <c r="A32" s="171"/>
      <c r="B32" s="171"/>
      <c r="C32" s="171"/>
      <c r="D32" s="171"/>
      <c r="E32" s="171"/>
      <c r="F32" s="171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</row>
    <row r="33">
      <c r="A33" s="171"/>
      <c r="B33" s="171"/>
      <c r="C33" s="171"/>
      <c r="D33" s="171"/>
      <c r="E33" s="171"/>
      <c r="F33" s="171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</row>
    <row r="34">
      <c r="A34" s="171"/>
      <c r="B34" s="171"/>
      <c r="C34" s="171"/>
      <c r="D34" s="171"/>
      <c r="E34" s="171"/>
      <c r="F34" s="171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</row>
    <row r="35">
      <c r="A35" s="171"/>
      <c r="B35" s="171"/>
      <c r="C35" s="171"/>
      <c r="D35" s="171"/>
      <c r="E35" s="171"/>
      <c r="F35" s="171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</row>
    <row r="36">
      <c r="A36" s="171"/>
      <c r="B36" s="171"/>
      <c r="C36" s="171"/>
      <c r="D36" s="171"/>
      <c r="E36" s="171"/>
      <c r="F36" s="171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</row>
    <row r="37">
      <c r="A37" s="171"/>
      <c r="B37" s="171"/>
      <c r="C37" s="171"/>
      <c r="D37" s="171"/>
      <c r="E37" s="171"/>
      <c r="F37" s="171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</row>
    <row r="38">
      <c r="A38" s="171"/>
      <c r="B38" s="171"/>
      <c r="C38" s="171"/>
      <c r="D38" s="171"/>
      <c r="E38" s="171"/>
      <c r="F38" s="171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</row>
    <row r="39">
      <c r="A39" s="171"/>
      <c r="B39" s="171"/>
      <c r="C39" s="171"/>
      <c r="D39" s="171"/>
      <c r="E39" s="171"/>
      <c r="F39" s="171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75"/>
      <c r="AK39" s="75"/>
      <c r="AL39" s="75"/>
    </row>
    <row r="40">
      <c r="A40" s="171"/>
      <c r="B40" s="171"/>
      <c r="C40" s="171"/>
      <c r="D40" s="171"/>
      <c r="E40" s="171"/>
      <c r="F40" s="171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</row>
    <row r="41">
      <c r="A41" s="171"/>
      <c r="B41" s="171"/>
      <c r="C41" s="171"/>
      <c r="D41" s="171"/>
      <c r="E41" s="171"/>
      <c r="F41" s="171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</row>
    <row r="42">
      <c r="A42" s="171"/>
      <c r="B42" s="171"/>
      <c r="C42" s="171"/>
      <c r="D42" s="171"/>
      <c r="E42" s="171"/>
      <c r="F42" s="171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</row>
    <row r="43">
      <c r="A43" s="171"/>
      <c r="B43" s="171"/>
      <c r="C43" s="171"/>
      <c r="D43" s="171"/>
      <c r="E43" s="171"/>
      <c r="F43" s="171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</row>
    <row r="44">
      <c r="A44" s="171"/>
      <c r="B44" s="171"/>
      <c r="C44" s="171"/>
      <c r="D44" s="171"/>
      <c r="E44" s="171"/>
      <c r="F44" s="171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</row>
    <row r="45">
      <c r="A45" s="171"/>
      <c r="B45" s="171"/>
      <c r="C45" s="171"/>
      <c r="D45" s="171"/>
      <c r="E45" s="171"/>
      <c r="F45" s="171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</row>
    <row r="46">
      <c r="A46" s="172"/>
      <c r="B46" s="173"/>
      <c r="C46" s="173"/>
      <c r="D46" s="173"/>
      <c r="E46" s="172" t="s">
        <v>58</v>
      </c>
      <c r="F46" s="174">
        <f>SUM(F6:F45)</f>
        <v>0</v>
      </c>
      <c r="H46" s="95">
        <f t="shared" ref="H46:AL46" si="1">SUM(H6:H45)</f>
        <v>0</v>
      </c>
      <c r="I46" s="95">
        <f t="shared" si="1"/>
        <v>0</v>
      </c>
      <c r="J46" s="95">
        <f t="shared" si="1"/>
        <v>0</v>
      </c>
      <c r="K46" s="95">
        <f t="shared" si="1"/>
        <v>0</v>
      </c>
      <c r="L46" s="95">
        <f t="shared" si="1"/>
        <v>0</v>
      </c>
      <c r="M46" s="95">
        <f t="shared" si="1"/>
        <v>0</v>
      </c>
      <c r="N46" s="95">
        <f t="shared" si="1"/>
        <v>0</v>
      </c>
      <c r="O46" s="95">
        <f t="shared" si="1"/>
        <v>0</v>
      </c>
      <c r="P46" s="95">
        <f t="shared" si="1"/>
        <v>0</v>
      </c>
      <c r="Q46" s="95">
        <f t="shared" si="1"/>
        <v>0</v>
      </c>
      <c r="R46" s="95">
        <f t="shared" si="1"/>
        <v>0</v>
      </c>
      <c r="S46" s="95">
        <f t="shared" si="1"/>
        <v>0</v>
      </c>
      <c r="T46" s="95">
        <f t="shared" si="1"/>
        <v>0</v>
      </c>
      <c r="U46" s="95">
        <f t="shared" si="1"/>
        <v>0</v>
      </c>
      <c r="V46" s="95">
        <f t="shared" si="1"/>
        <v>0</v>
      </c>
      <c r="W46" s="95">
        <f t="shared" si="1"/>
        <v>0</v>
      </c>
      <c r="X46" s="95">
        <f t="shared" si="1"/>
        <v>0</v>
      </c>
      <c r="Y46" s="95">
        <f t="shared" si="1"/>
        <v>0</v>
      </c>
      <c r="Z46" s="95">
        <f t="shared" si="1"/>
        <v>0</v>
      </c>
      <c r="AA46" s="95">
        <f t="shared" si="1"/>
        <v>0</v>
      </c>
      <c r="AB46" s="95">
        <f t="shared" si="1"/>
        <v>0</v>
      </c>
      <c r="AC46" s="95">
        <f t="shared" si="1"/>
        <v>0</v>
      </c>
      <c r="AD46" s="95">
        <f t="shared" si="1"/>
        <v>0</v>
      </c>
      <c r="AE46" s="95">
        <f t="shared" si="1"/>
        <v>0</v>
      </c>
      <c r="AF46" s="95">
        <f t="shared" si="1"/>
        <v>0</v>
      </c>
      <c r="AG46" s="95">
        <f t="shared" si="1"/>
        <v>0</v>
      </c>
      <c r="AH46" s="95">
        <f t="shared" si="1"/>
        <v>0</v>
      </c>
      <c r="AI46" s="95">
        <f t="shared" si="1"/>
        <v>0</v>
      </c>
      <c r="AJ46" s="95">
        <f t="shared" si="1"/>
        <v>0</v>
      </c>
      <c r="AK46" s="95">
        <f t="shared" si="1"/>
        <v>0</v>
      </c>
      <c r="AL46" s="95">
        <f t="shared" si="1"/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4" max="4" width="20.0"/>
    <col customWidth="1" min="5" max="5" width="15.25"/>
    <col customWidth="1" min="6" max="6" width="19.63"/>
    <col customWidth="1" min="7" max="7" width="8.0"/>
    <col customWidth="1" min="8" max="8" width="18.0"/>
    <col customWidth="1" min="9" max="9" width="94.5"/>
  </cols>
  <sheetData>
    <row r="1">
      <c r="A1" s="175" t="s">
        <v>92</v>
      </c>
      <c r="B1" s="175" t="s">
        <v>93</v>
      </c>
      <c r="C1" s="176" t="s">
        <v>94</v>
      </c>
      <c r="D1" s="177" t="s">
        <v>95</v>
      </c>
      <c r="E1" s="176" t="s">
        <v>49</v>
      </c>
      <c r="F1" s="178" t="s">
        <v>96</v>
      </c>
      <c r="G1" s="176" t="s">
        <v>97</v>
      </c>
      <c r="H1" s="175" t="s">
        <v>98</v>
      </c>
      <c r="I1" s="176" t="s">
        <v>99</v>
      </c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</row>
    <row r="2">
      <c r="A2" s="180">
        <v>1.0</v>
      </c>
      <c r="B2" s="181">
        <v>46140.0</v>
      </c>
      <c r="C2" s="182">
        <v>2076538.0</v>
      </c>
      <c r="D2" s="183" t="s">
        <v>100</v>
      </c>
      <c r="E2" s="182">
        <v>3.02134733E8</v>
      </c>
      <c r="F2" s="184" t="s">
        <v>101</v>
      </c>
      <c r="G2" s="182">
        <v>401.0</v>
      </c>
      <c r="H2" s="180" t="s">
        <v>102</v>
      </c>
      <c r="I2" s="183" t="s">
        <v>103</v>
      </c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</row>
    <row r="3">
      <c r="A3" s="180">
        <v>2.0</v>
      </c>
      <c r="B3" s="181">
        <v>46141.0</v>
      </c>
      <c r="C3" s="182">
        <v>2091232.0</v>
      </c>
      <c r="D3" s="183" t="s">
        <v>100</v>
      </c>
      <c r="E3" s="182">
        <v>3.02134733E8</v>
      </c>
      <c r="F3" s="184" t="s">
        <v>101</v>
      </c>
      <c r="G3" s="182">
        <v>401.0</v>
      </c>
      <c r="H3" s="180">
        <v>980.0</v>
      </c>
      <c r="I3" s="183" t="s">
        <v>104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</row>
    <row r="4">
      <c r="A4" s="180">
        <v>3.0</v>
      </c>
      <c r="B4" s="181">
        <v>46141.0</v>
      </c>
      <c r="C4" s="182">
        <v>3.70456534E8</v>
      </c>
      <c r="D4" s="183" t="s">
        <v>105</v>
      </c>
      <c r="E4" s="182">
        <v>3.08483374E8</v>
      </c>
      <c r="F4" s="184" t="s">
        <v>106</v>
      </c>
      <c r="G4" s="182">
        <v>445.0</v>
      </c>
      <c r="H4" s="180">
        <v>0.0</v>
      </c>
      <c r="I4" s="183" t="s">
        <v>107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</row>
    <row r="5">
      <c r="A5" s="180">
        <v>4.0</v>
      </c>
      <c r="B5" s="181">
        <v>46141.0</v>
      </c>
      <c r="C5" s="182">
        <v>4650071.0</v>
      </c>
      <c r="D5" s="183" t="s">
        <v>108</v>
      </c>
      <c r="E5" s="182">
        <v>2.01122919E8</v>
      </c>
      <c r="F5" s="184" t="s">
        <v>109</v>
      </c>
      <c r="G5" s="182">
        <v>14.0</v>
      </c>
      <c r="H5" s="180" t="s">
        <v>110</v>
      </c>
      <c r="I5" s="183" t="s">
        <v>111</v>
      </c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</row>
    <row r="6">
      <c r="A6" s="180">
        <v>5.0</v>
      </c>
      <c r="B6" s="181">
        <v>46141.0</v>
      </c>
      <c r="C6" s="182">
        <v>62.0</v>
      </c>
      <c r="D6" s="183" t="s">
        <v>112</v>
      </c>
      <c r="E6" s="182">
        <v>3.05774212E8</v>
      </c>
      <c r="F6" s="184" t="s">
        <v>113</v>
      </c>
      <c r="G6" s="182">
        <v>974.0</v>
      </c>
      <c r="H6" s="180">
        <v>0.0</v>
      </c>
      <c r="I6" s="183" t="s">
        <v>114</v>
      </c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</row>
    <row r="7">
      <c r="A7" s="180">
        <v>6.0</v>
      </c>
      <c r="B7" s="181">
        <v>46142.0</v>
      </c>
      <c r="C7" s="182">
        <v>3.83312988E8</v>
      </c>
      <c r="D7" s="183" t="s">
        <v>105</v>
      </c>
      <c r="E7" s="182">
        <v>3.08483374E8</v>
      </c>
      <c r="F7" s="184" t="s">
        <v>106</v>
      </c>
      <c r="G7" s="182">
        <v>445.0</v>
      </c>
      <c r="H7" s="180">
        <v>0.0</v>
      </c>
      <c r="I7" s="183" t="s">
        <v>115</v>
      </c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</row>
    <row r="8">
      <c r="A8" s="180">
        <v>7.0</v>
      </c>
      <c r="B8" s="181">
        <v>46142.0</v>
      </c>
      <c r="C8" s="182">
        <v>63.0</v>
      </c>
      <c r="D8" s="183" t="s">
        <v>116</v>
      </c>
      <c r="E8" s="182">
        <v>3.08455582E8</v>
      </c>
      <c r="F8" s="184" t="s">
        <v>117</v>
      </c>
      <c r="G8" s="182">
        <v>445.0</v>
      </c>
      <c r="H8" s="180">
        <v>0.0</v>
      </c>
      <c r="I8" s="183" t="s">
        <v>118</v>
      </c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</row>
    <row r="9" ht="51.75" customHeight="1">
      <c r="A9" s="185">
        <v>8.0</v>
      </c>
      <c r="B9" s="186"/>
      <c r="C9" s="186"/>
      <c r="D9" s="187" t="s">
        <v>119</v>
      </c>
      <c r="E9" s="188"/>
      <c r="F9" s="189"/>
      <c r="G9" s="190" t="s">
        <v>120</v>
      </c>
      <c r="H9" s="189"/>
      <c r="I9" s="191" t="s">
        <v>121</v>
      </c>
      <c r="J9" s="192"/>
      <c r="K9" s="192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3"/>
      <c r="Z9" s="193"/>
    </row>
    <row r="10">
      <c r="A10" s="179"/>
      <c r="B10" s="179"/>
      <c r="C10" s="179"/>
      <c r="D10" s="179"/>
      <c r="E10" s="179"/>
      <c r="F10" s="179"/>
      <c r="G10" s="194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</row>
    <row r="11">
      <c r="A11" s="179"/>
      <c r="B11" s="179"/>
      <c r="C11" s="179"/>
      <c r="D11" s="179"/>
      <c r="E11" s="179"/>
      <c r="F11" s="179"/>
      <c r="G11" s="194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</row>
    <row r="12">
      <c r="A12" s="179"/>
      <c r="B12" s="179"/>
      <c r="C12" s="179"/>
      <c r="D12" s="179"/>
      <c r="E12" s="179"/>
      <c r="F12" s="179"/>
      <c r="G12" s="194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</row>
    <row r="13">
      <c r="A13" s="179"/>
      <c r="B13" s="179"/>
      <c r="C13" s="179"/>
      <c r="D13" s="179"/>
      <c r="E13" s="179"/>
      <c r="F13" s="179"/>
      <c r="G13" s="194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</row>
    <row r="14">
      <c r="A14" s="179"/>
      <c r="B14" s="179"/>
      <c r="C14" s="179"/>
      <c r="D14" s="179"/>
      <c r="E14" s="179"/>
      <c r="F14" s="179"/>
      <c r="G14" s="194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</row>
    <row r="15">
      <c r="A15" s="179"/>
      <c r="B15" s="179"/>
      <c r="C15" s="179"/>
      <c r="D15" s="179"/>
      <c r="E15" s="179"/>
      <c r="F15" s="179"/>
      <c r="G15" s="194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</row>
    <row r="16">
      <c r="A16" s="179"/>
      <c r="B16" s="179"/>
      <c r="C16" s="179"/>
      <c r="D16" s="179"/>
      <c r="E16" s="179"/>
      <c r="F16" s="179"/>
      <c r="G16" s="194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</row>
    <row r="17">
      <c r="A17" s="179"/>
      <c r="B17" s="179"/>
      <c r="C17" s="179"/>
      <c r="D17" s="179"/>
      <c r="E17" s="179"/>
      <c r="F17" s="179"/>
      <c r="G17" s="194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</row>
    <row r="18">
      <c r="A18" s="179"/>
      <c r="B18" s="179"/>
      <c r="C18" s="179"/>
      <c r="D18" s="179"/>
      <c r="E18" s="179"/>
      <c r="F18" s="179"/>
      <c r="G18" s="194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</row>
    <row r="19">
      <c r="A19" s="179"/>
      <c r="B19" s="179"/>
      <c r="C19" s="179"/>
      <c r="D19" s="179"/>
      <c r="E19" s="179"/>
      <c r="F19" s="179"/>
      <c r="G19" s="194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</row>
    <row r="20">
      <c r="A20" s="179"/>
      <c r="B20" s="179"/>
      <c r="C20" s="179"/>
      <c r="D20" s="179"/>
      <c r="E20" s="179"/>
      <c r="F20" s="179"/>
      <c r="G20" s="194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</row>
    <row r="21">
      <c r="A21" s="179"/>
      <c r="B21" s="179"/>
      <c r="C21" s="179"/>
      <c r="D21" s="179"/>
      <c r="E21" s="179"/>
      <c r="F21" s="179"/>
      <c r="G21" s="194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>
      <c r="A22" s="179"/>
      <c r="B22" s="179"/>
      <c r="C22" s="179"/>
      <c r="D22" s="179"/>
      <c r="E22" s="179"/>
      <c r="F22" s="179"/>
      <c r="G22" s="194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</row>
    <row r="23">
      <c r="A23" s="179"/>
      <c r="B23" s="179"/>
      <c r="C23" s="179"/>
      <c r="D23" s="179"/>
      <c r="E23" s="179"/>
      <c r="F23" s="179"/>
      <c r="G23" s="194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</row>
    <row r="24">
      <c r="A24" s="179"/>
      <c r="B24" s="179"/>
      <c r="C24" s="179"/>
      <c r="D24" s="179"/>
      <c r="E24" s="179"/>
      <c r="F24" s="179"/>
      <c r="G24" s="194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</row>
    <row r="25">
      <c r="A25" s="179"/>
      <c r="B25" s="179"/>
      <c r="C25" s="179"/>
      <c r="D25" s="179"/>
      <c r="E25" s="179"/>
      <c r="F25" s="179"/>
      <c r="G25" s="194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</row>
    <row r="26">
      <c r="A26" s="179"/>
      <c r="B26" s="179"/>
      <c r="C26" s="179"/>
      <c r="D26" s="179"/>
      <c r="E26" s="179"/>
      <c r="F26" s="179"/>
      <c r="G26" s="194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</row>
    <row r="27">
      <c r="A27" s="179"/>
      <c r="B27" s="179"/>
      <c r="C27" s="179"/>
      <c r="D27" s="179"/>
      <c r="E27" s="179"/>
      <c r="F27" s="179"/>
      <c r="G27" s="194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</row>
    <row r="28">
      <c r="A28" s="179"/>
      <c r="B28" s="179"/>
      <c r="C28" s="179"/>
      <c r="D28" s="179"/>
      <c r="E28" s="179"/>
      <c r="F28" s="179"/>
      <c r="G28" s="194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</row>
    <row r="29">
      <c r="A29" s="179"/>
      <c r="B29" s="179"/>
      <c r="C29" s="179"/>
      <c r="D29" s="179"/>
      <c r="E29" s="179"/>
      <c r="F29" s="179"/>
      <c r="G29" s="194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</row>
    <row r="30">
      <c r="A30" s="179"/>
      <c r="B30" s="179"/>
      <c r="C30" s="179"/>
      <c r="D30" s="179"/>
      <c r="E30" s="179"/>
      <c r="F30" s="179"/>
      <c r="G30" s="194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>
      <c r="A31" s="179"/>
      <c r="B31" s="179"/>
      <c r="C31" s="179"/>
      <c r="D31" s="179"/>
      <c r="E31" s="179"/>
      <c r="F31" s="179"/>
      <c r="G31" s="194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</row>
    <row r="32">
      <c r="A32" s="179"/>
      <c r="B32" s="179"/>
      <c r="C32" s="179"/>
      <c r="D32" s="179"/>
      <c r="E32" s="179"/>
      <c r="F32" s="179"/>
      <c r="G32" s="194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</row>
    <row r="33">
      <c r="A33" s="179"/>
      <c r="B33" s="179"/>
      <c r="C33" s="179"/>
      <c r="D33" s="179"/>
      <c r="E33" s="179"/>
      <c r="F33" s="179"/>
      <c r="G33" s="194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</row>
    <row r="34">
      <c r="A34" s="179"/>
      <c r="B34" s="179"/>
      <c r="C34" s="179"/>
      <c r="D34" s="179"/>
      <c r="E34" s="179"/>
      <c r="F34" s="179"/>
      <c r="G34" s="194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</row>
    <row r="35">
      <c r="A35" s="179"/>
      <c r="B35" s="179"/>
      <c r="C35" s="179"/>
      <c r="D35" s="179"/>
      <c r="E35" s="179"/>
      <c r="F35" s="179"/>
      <c r="G35" s="194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</row>
    <row r="36">
      <c r="A36" s="179"/>
      <c r="B36" s="179"/>
      <c r="C36" s="179"/>
      <c r="D36" s="179"/>
      <c r="E36" s="179"/>
      <c r="F36" s="179"/>
      <c r="G36" s="194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</row>
    <row r="37">
      <c r="A37" s="179"/>
      <c r="B37" s="179"/>
      <c r="C37" s="179"/>
      <c r="D37" s="179"/>
      <c r="E37" s="179"/>
      <c r="F37" s="179"/>
      <c r="G37" s="194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</row>
    <row r="38">
      <c r="A38" s="179"/>
      <c r="B38" s="179"/>
      <c r="C38" s="179"/>
      <c r="D38" s="179"/>
      <c r="E38" s="179"/>
      <c r="F38" s="179"/>
      <c r="G38" s="194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</row>
    <row r="39">
      <c r="A39" s="179"/>
      <c r="B39" s="179"/>
      <c r="C39" s="179"/>
      <c r="D39" s="179"/>
      <c r="E39" s="179"/>
      <c r="F39" s="179"/>
      <c r="G39" s="194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</row>
    <row r="40">
      <c r="A40" s="179"/>
      <c r="B40" s="179"/>
      <c r="C40" s="179"/>
      <c r="D40" s="179"/>
      <c r="E40" s="179"/>
      <c r="F40" s="179"/>
      <c r="G40" s="194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</row>
    <row r="41">
      <c r="A41" s="179"/>
      <c r="B41" s="179"/>
      <c r="C41" s="179"/>
      <c r="D41" s="179"/>
      <c r="E41" s="179"/>
      <c r="F41" s="179"/>
      <c r="G41" s="194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</row>
    <row r="42">
      <c r="A42" s="179"/>
      <c r="B42" s="179"/>
      <c r="C42" s="179"/>
      <c r="D42" s="179"/>
      <c r="E42" s="179"/>
      <c r="F42" s="179"/>
      <c r="G42" s="194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</row>
    <row r="43">
      <c r="A43" s="179"/>
      <c r="B43" s="179"/>
      <c r="C43" s="179"/>
      <c r="D43" s="179"/>
      <c r="E43" s="179"/>
      <c r="F43" s="179"/>
      <c r="G43" s="194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</row>
    <row r="44">
      <c r="A44" s="179"/>
      <c r="B44" s="179"/>
      <c r="C44" s="179"/>
      <c r="D44" s="179"/>
      <c r="E44" s="179"/>
      <c r="F44" s="179"/>
      <c r="G44" s="194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</row>
    <row r="45">
      <c r="A45" s="179"/>
      <c r="B45" s="179"/>
      <c r="C45" s="179"/>
      <c r="D45" s="179"/>
      <c r="E45" s="179"/>
      <c r="F45" s="179"/>
      <c r="G45" s="194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</row>
    <row r="46">
      <c r="A46" s="179"/>
      <c r="B46" s="179"/>
      <c r="C46" s="179"/>
      <c r="D46" s="179"/>
      <c r="E46" s="179"/>
      <c r="F46" s="179"/>
      <c r="G46" s="194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</row>
    <row r="47">
      <c r="A47" s="179"/>
      <c r="B47" s="179"/>
      <c r="C47" s="179"/>
      <c r="D47" s="179"/>
      <c r="E47" s="179"/>
      <c r="F47" s="179"/>
      <c r="G47" s="194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</row>
    <row r="48">
      <c r="A48" s="179"/>
      <c r="B48" s="179"/>
      <c r="C48" s="179"/>
      <c r="D48" s="179"/>
      <c r="E48" s="179"/>
      <c r="F48" s="179"/>
      <c r="G48" s="194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</row>
    <row r="49">
      <c r="A49" s="179"/>
      <c r="B49" s="179"/>
      <c r="C49" s="179"/>
      <c r="D49" s="179"/>
      <c r="E49" s="179"/>
      <c r="F49" s="179"/>
      <c r="G49" s="194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</row>
    <row r="50">
      <c r="A50" s="179"/>
      <c r="B50" s="179"/>
      <c r="C50" s="179"/>
      <c r="D50" s="179"/>
      <c r="E50" s="179"/>
      <c r="F50" s="179"/>
      <c r="G50" s="194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</row>
    <row r="51">
      <c r="A51" s="179"/>
      <c r="B51" s="179"/>
      <c r="C51" s="179"/>
      <c r="D51" s="179"/>
      <c r="E51" s="179"/>
      <c r="F51" s="179"/>
      <c r="G51" s="194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</row>
    <row r="52">
      <c r="A52" s="179"/>
      <c r="B52" s="179"/>
      <c r="C52" s="179"/>
      <c r="D52" s="179"/>
      <c r="E52" s="179"/>
      <c r="F52" s="179"/>
      <c r="G52" s="194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</row>
    <row r="53">
      <c r="A53" s="179"/>
      <c r="B53" s="179"/>
      <c r="C53" s="179"/>
      <c r="D53" s="179"/>
      <c r="E53" s="179"/>
      <c r="F53" s="179"/>
      <c r="G53" s="194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</row>
    <row r="54">
      <c r="A54" s="179"/>
      <c r="B54" s="179"/>
      <c r="C54" s="179"/>
      <c r="D54" s="179"/>
      <c r="E54" s="179"/>
      <c r="F54" s="179"/>
      <c r="G54" s="194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</row>
    <row r="55">
      <c r="A55" s="179"/>
      <c r="B55" s="179"/>
      <c r="C55" s="179"/>
      <c r="D55" s="179"/>
      <c r="E55" s="179"/>
      <c r="F55" s="179"/>
      <c r="G55" s="194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</row>
    <row r="56">
      <c r="A56" s="179"/>
      <c r="B56" s="179"/>
      <c r="C56" s="179"/>
      <c r="D56" s="179"/>
      <c r="E56" s="179"/>
      <c r="F56" s="179"/>
      <c r="G56" s="194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</row>
    <row r="57">
      <c r="A57" s="179"/>
      <c r="B57" s="179"/>
      <c r="C57" s="179"/>
      <c r="D57" s="179"/>
      <c r="E57" s="179"/>
      <c r="F57" s="179"/>
      <c r="G57" s="194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</row>
    <row r="58">
      <c r="A58" s="179"/>
      <c r="B58" s="179"/>
      <c r="C58" s="179"/>
      <c r="D58" s="179"/>
      <c r="E58" s="179"/>
      <c r="F58" s="179"/>
      <c r="G58" s="194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</row>
    <row r="59">
      <c r="A59" s="179"/>
      <c r="B59" s="179"/>
      <c r="C59" s="179"/>
      <c r="D59" s="179"/>
      <c r="E59" s="179"/>
      <c r="F59" s="179"/>
      <c r="G59" s="194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</row>
    <row r="60">
      <c r="A60" s="179"/>
      <c r="B60" s="179"/>
      <c r="C60" s="179"/>
      <c r="D60" s="179"/>
      <c r="E60" s="179"/>
      <c r="F60" s="179"/>
      <c r="G60" s="194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</row>
    <row r="61">
      <c r="A61" s="179"/>
      <c r="B61" s="179"/>
      <c r="C61" s="179"/>
      <c r="D61" s="179"/>
      <c r="E61" s="179"/>
      <c r="F61" s="179"/>
      <c r="G61" s="194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>
      <c r="A62" s="179"/>
      <c r="B62" s="179"/>
      <c r="C62" s="179"/>
      <c r="D62" s="179"/>
      <c r="E62" s="179"/>
      <c r="F62" s="179"/>
      <c r="G62" s="194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</row>
    <row r="63">
      <c r="A63" s="179"/>
      <c r="B63" s="179"/>
      <c r="C63" s="179"/>
      <c r="D63" s="179"/>
      <c r="E63" s="179"/>
      <c r="F63" s="179"/>
      <c r="G63" s="194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</row>
    <row r="64">
      <c r="A64" s="179"/>
      <c r="B64" s="179"/>
      <c r="C64" s="179"/>
      <c r="D64" s="179"/>
      <c r="E64" s="179"/>
      <c r="F64" s="179"/>
      <c r="G64" s="194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</row>
    <row r="65">
      <c r="A65" s="179"/>
      <c r="B65" s="179"/>
      <c r="C65" s="179"/>
      <c r="D65" s="179"/>
      <c r="E65" s="179"/>
      <c r="F65" s="179"/>
      <c r="G65" s="194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</row>
    <row r="66">
      <c r="A66" s="179"/>
      <c r="B66" s="179"/>
      <c r="C66" s="179"/>
      <c r="D66" s="179"/>
      <c r="E66" s="179"/>
      <c r="F66" s="179"/>
      <c r="G66" s="194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</row>
    <row r="67">
      <c r="A67" s="179"/>
      <c r="B67" s="179"/>
      <c r="C67" s="179"/>
      <c r="D67" s="179"/>
      <c r="E67" s="179"/>
      <c r="F67" s="179"/>
      <c r="G67" s="194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</row>
    <row r="68">
      <c r="A68" s="179"/>
      <c r="B68" s="179"/>
      <c r="C68" s="179"/>
      <c r="D68" s="179"/>
      <c r="E68" s="179"/>
      <c r="F68" s="179"/>
      <c r="G68" s="194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</row>
    <row r="69">
      <c r="A69" s="179"/>
      <c r="B69" s="179"/>
      <c r="C69" s="179"/>
      <c r="D69" s="179"/>
      <c r="E69" s="179"/>
      <c r="F69" s="179"/>
      <c r="G69" s="194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</row>
    <row r="70">
      <c r="A70" s="179"/>
      <c r="B70" s="179"/>
      <c r="C70" s="179"/>
      <c r="D70" s="179"/>
      <c r="E70" s="179"/>
      <c r="F70" s="179"/>
      <c r="G70" s="194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</row>
    <row r="71">
      <c r="A71" s="179"/>
      <c r="B71" s="179"/>
      <c r="C71" s="179"/>
      <c r="D71" s="179"/>
      <c r="E71" s="179"/>
      <c r="F71" s="179"/>
      <c r="G71" s="194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</row>
    <row r="72">
      <c r="A72" s="179"/>
      <c r="B72" s="179"/>
      <c r="C72" s="179"/>
      <c r="D72" s="179"/>
      <c r="E72" s="179"/>
      <c r="F72" s="179"/>
      <c r="G72" s="194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</row>
    <row r="73">
      <c r="A73" s="179"/>
      <c r="B73" s="179"/>
      <c r="C73" s="179"/>
      <c r="D73" s="179"/>
      <c r="E73" s="179"/>
      <c r="F73" s="179"/>
      <c r="G73" s="194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</row>
    <row r="74">
      <c r="A74" s="179"/>
      <c r="B74" s="179"/>
      <c r="C74" s="179"/>
      <c r="D74" s="179"/>
      <c r="E74" s="179"/>
      <c r="F74" s="179"/>
      <c r="G74" s="194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</row>
    <row r="75">
      <c r="A75" s="179"/>
      <c r="B75" s="179"/>
      <c r="C75" s="179"/>
      <c r="D75" s="179"/>
      <c r="E75" s="179"/>
      <c r="F75" s="179"/>
      <c r="G75" s="194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</row>
    <row r="76">
      <c r="A76" s="179"/>
      <c r="B76" s="179"/>
      <c r="C76" s="179"/>
      <c r="D76" s="179"/>
      <c r="E76" s="179"/>
      <c r="F76" s="179"/>
      <c r="G76" s="194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</row>
    <row r="77">
      <c r="A77" s="179"/>
      <c r="B77" s="179"/>
      <c r="C77" s="179"/>
      <c r="D77" s="179"/>
      <c r="E77" s="179"/>
      <c r="F77" s="179"/>
      <c r="G77" s="194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</row>
    <row r="78">
      <c r="A78" s="179"/>
      <c r="B78" s="179"/>
      <c r="C78" s="179"/>
      <c r="D78" s="179"/>
      <c r="E78" s="179"/>
      <c r="F78" s="179"/>
      <c r="G78" s="194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</row>
    <row r="79">
      <c r="A79" s="179"/>
      <c r="B79" s="179"/>
      <c r="C79" s="179"/>
      <c r="D79" s="179"/>
      <c r="E79" s="179"/>
      <c r="F79" s="179"/>
      <c r="G79" s="194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</row>
    <row r="80">
      <c r="A80" s="179"/>
      <c r="B80" s="179"/>
      <c r="C80" s="179"/>
      <c r="D80" s="179"/>
      <c r="E80" s="179"/>
      <c r="F80" s="179"/>
      <c r="G80" s="194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</row>
    <row r="81">
      <c r="A81" s="179"/>
      <c r="B81" s="179"/>
      <c r="C81" s="179"/>
      <c r="D81" s="179"/>
      <c r="E81" s="179"/>
      <c r="F81" s="179"/>
      <c r="G81" s="194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</row>
    <row r="82">
      <c r="A82" s="179"/>
      <c r="B82" s="179"/>
      <c r="C82" s="179"/>
      <c r="D82" s="179"/>
      <c r="E82" s="179"/>
      <c r="F82" s="179"/>
      <c r="G82" s="194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</row>
    <row r="83">
      <c r="A83" s="179"/>
      <c r="B83" s="179"/>
      <c r="C83" s="179"/>
      <c r="D83" s="179"/>
      <c r="E83" s="179"/>
      <c r="F83" s="179"/>
      <c r="G83" s="194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</row>
    <row r="84">
      <c r="A84" s="179"/>
      <c r="B84" s="179"/>
      <c r="C84" s="179"/>
      <c r="D84" s="179"/>
      <c r="E84" s="179"/>
      <c r="F84" s="179"/>
      <c r="G84" s="194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</row>
    <row r="85">
      <c r="A85" s="179"/>
      <c r="B85" s="179"/>
      <c r="C85" s="179"/>
      <c r="D85" s="179"/>
      <c r="E85" s="179"/>
      <c r="F85" s="179"/>
      <c r="G85" s="194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</row>
    <row r="86">
      <c r="A86" s="179"/>
      <c r="B86" s="179"/>
      <c r="C86" s="179"/>
      <c r="D86" s="179"/>
      <c r="E86" s="179"/>
      <c r="F86" s="179"/>
      <c r="G86" s="194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</row>
    <row r="87">
      <c r="A87" s="179"/>
      <c r="B87" s="179"/>
      <c r="C87" s="179"/>
      <c r="D87" s="179"/>
      <c r="E87" s="179"/>
      <c r="F87" s="179"/>
      <c r="G87" s="194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</row>
    <row r="88">
      <c r="A88" s="179"/>
      <c r="B88" s="179"/>
      <c r="C88" s="179"/>
      <c r="D88" s="179"/>
      <c r="E88" s="179"/>
      <c r="F88" s="179"/>
      <c r="G88" s="194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</row>
    <row r="89">
      <c r="A89" s="179"/>
      <c r="B89" s="179"/>
      <c r="C89" s="179"/>
      <c r="D89" s="179"/>
      <c r="E89" s="179"/>
      <c r="F89" s="179"/>
      <c r="G89" s="194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</row>
    <row r="90">
      <c r="A90" s="179"/>
      <c r="B90" s="179"/>
      <c r="C90" s="179"/>
      <c r="D90" s="179"/>
      <c r="E90" s="179"/>
      <c r="F90" s="179"/>
      <c r="G90" s="194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</row>
    <row r="91">
      <c r="A91" s="179"/>
      <c r="B91" s="179"/>
      <c r="C91" s="179"/>
      <c r="D91" s="179"/>
      <c r="E91" s="179"/>
      <c r="F91" s="179"/>
      <c r="G91" s="194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</row>
    <row r="92">
      <c r="A92" s="179"/>
      <c r="B92" s="179"/>
      <c r="C92" s="179"/>
      <c r="D92" s="179"/>
      <c r="E92" s="179"/>
      <c r="F92" s="179"/>
      <c r="G92" s="194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</row>
    <row r="93">
      <c r="A93" s="179"/>
      <c r="B93" s="179"/>
      <c r="C93" s="179"/>
      <c r="D93" s="179"/>
      <c r="E93" s="179"/>
      <c r="F93" s="179"/>
      <c r="G93" s="194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</row>
    <row r="94">
      <c r="A94" s="179"/>
      <c r="B94" s="179"/>
      <c r="C94" s="179"/>
      <c r="D94" s="179"/>
      <c r="E94" s="179"/>
      <c r="F94" s="179"/>
      <c r="G94" s="194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</row>
    <row r="95">
      <c r="A95" s="179"/>
      <c r="B95" s="179"/>
      <c r="C95" s="179"/>
      <c r="D95" s="179"/>
      <c r="E95" s="179"/>
      <c r="F95" s="179"/>
      <c r="G95" s="194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</row>
    <row r="96">
      <c r="A96" s="179"/>
      <c r="B96" s="179"/>
      <c r="C96" s="179"/>
      <c r="D96" s="179"/>
      <c r="E96" s="179"/>
      <c r="F96" s="179"/>
      <c r="G96" s="194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</row>
    <row r="97">
      <c r="A97" s="179"/>
      <c r="B97" s="179"/>
      <c r="C97" s="179"/>
      <c r="D97" s="179"/>
      <c r="E97" s="179"/>
      <c r="F97" s="179"/>
      <c r="G97" s="194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</row>
    <row r="98">
      <c r="A98" s="179"/>
      <c r="B98" s="179"/>
      <c r="C98" s="179"/>
      <c r="D98" s="179"/>
      <c r="E98" s="179"/>
      <c r="F98" s="179"/>
      <c r="G98" s="194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</row>
    <row r="99">
      <c r="A99" s="179"/>
      <c r="B99" s="179"/>
      <c r="C99" s="179"/>
      <c r="D99" s="179"/>
      <c r="E99" s="179"/>
      <c r="F99" s="179"/>
      <c r="G99" s="194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</row>
    <row r="100">
      <c r="A100" s="179"/>
      <c r="B100" s="179"/>
      <c r="C100" s="179"/>
      <c r="D100" s="179"/>
      <c r="E100" s="179"/>
      <c r="F100" s="179"/>
      <c r="G100" s="194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</row>
    <row r="101">
      <c r="A101" s="179"/>
      <c r="B101" s="179"/>
      <c r="C101" s="179"/>
      <c r="D101" s="179"/>
      <c r="E101" s="179"/>
      <c r="F101" s="179"/>
      <c r="G101" s="194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</row>
    <row r="102">
      <c r="A102" s="179"/>
      <c r="B102" s="179"/>
      <c r="C102" s="179"/>
      <c r="D102" s="179"/>
      <c r="E102" s="179"/>
      <c r="F102" s="179"/>
      <c r="G102" s="194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</row>
    <row r="103">
      <c r="A103" s="179"/>
      <c r="B103" s="179"/>
      <c r="C103" s="179"/>
      <c r="D103" s="179"/>
      <c r="E103" s="179"/>
      <c r="F103" s="179"/>
      <c r="G103" s="194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</row>
    <row r="104">
      <c r="A104" s="179"/>
      <c r="B104" s="179"/>
      <c r="C104" s="179"/>
      <c r="D104" s="179"/>
      <c r="E104" s="179"/>
      <c r="F104" s="179"/>
      <c r="G104" s="194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</row>
    <row r="105">
      <c r="A105" s="179"/>
      <c r="B105" s="179"/>
      <c r="C105" s="179"/>
      <c r="D105" s="179"/>
      <c r="E105" s="179"/>
      <c r="F105" s="179"/>
      <c r="G105" s="194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</row>
    <row r="106">
      <c r="A106" s="179"/>
      <c r="B106" s="179"/>
      <c r="C106" s="179"/>
      <c r="D106" s="179"/>
      <c r="E106" s="179"/>
      <c r="F106" s="179"/>
      <c r="G106" s="194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</row>
    <row r="107">
      <c r="A107" s="179"/>
      <c r="B107" s="179"/>
      <c r="C107" s="179"/>
      <c r="D107" s="179"/>
      <c r="E107" s="179"/>
      <c r="F107" s="179"/>
      <c r="G107" s="194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</row>
    <row r="108">
      <c r="A108" s="179"/>
      <c r="B108" s="179"/>
      <c r="C108" s="179"/>
      <c r="D108" s="179"/>
      <c r="E108" s="179"/>
      <c r="F108" s="179"/>
      <c r="G108" s="194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</row>
    <row r="109">
      <c r="A109" s="179"/>
      <c r="B109" s="179"/>
      <c r="C109" s="179"/>
      <c r="D109" s="179"/>
      <c r="E109" s="179"/>
      <c r="F109" s="179"/>
      <c r="G109" s="194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</row>
    <row r="110">
      <c r="A110" s="179"/>
      <c r="B110" s="179"/>
      <c r="C110" s="179"/>
      <c r="D110" s="179"/>
      <c r="E110" s="179"/>
      <c r="F110" s="179"/>
      <c r="G110" s="194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</row>
    <row r="111">
      <c r="A111" s="179"/>
      <c r="B111" s="179"/>
      <c r="C111" s="179"/>
      <c r="D111" s="179"/>
      <c r="E111" s="179"/>
      <c r="F111" s="179"/>
      <c r="G111" s="194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</row>
    <row r="112">
      <c r="A112" s="179"/>
      <c r="B112" s="179"/>
      <c r="C112" s="179"/>
      <c r="D112" s="179"/>
      <c r="E112" s="179"/>
      <c r="F112" s="179"/>
      <c r="G112" s="194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</row>
    <row r="113">
      <c r="A113" s="179"/>
      <c r="B113" s="179"/>
      <c r="C113" s="179"/>
      <c r="D113" s="179"/>
      <c r="E113" s="179"/>
      <c r="F113" s="179"/>
      <c r="G113" s="194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</row>
    <row r="114">
      <c r="A114" s="179"/>
      <c r="B114" s="179"/>
      <c r="C114" s="179"/>
      <c r="D114" s="179"/>
      <c r="E114" s="179"/>
      <c r="F114" s="179"/>
      <c r="G114" s="194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</row>
    <row r="115">
      <c r="A115" s="179"/>
      <c r="B115" s="179"/>
      <c r="C115" s="179"/>
      <c r="D115" s="179"/>
      <c r="E115" s="179"/>
      <c r="F115" s="179"/>
      <c r="G115" s="194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</row>
    <row r="116">
      <c r="A116" s="179"/>
      <c r="B116" s="179"/>
      <c r="C116" s="179"/>
      <c r="D116" s="179"/>
      <c r="E116" s="179"/>
      <c r="F116" s="179"/>
      <c r="G116" s="194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</row>
    <row r="117">
      <c r="A117" s="179"/>
      <c r="B117" s="179"/>
      <c r="C117" s="179"/>
      <c r="D117" s="179"/>
      <c r="E117" s="179"/>
      <c r="F117" s="179"/>
      <c r="G117" s="194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</row>
    <row r="118">
      <c r="A118" s="179"/>
      <c r="B118" s="179"/>
      <c r="C118" s="179"/>
      <c r="D118" s="179"/>
      <c r="E118" s="179"/>
      <c r="F118" s="179"/>
      <c r="G118" s="194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</row>
    <row r="119">
      <c r="A119" s="179"/>
      <c r="B119" s="179"/>
      <c r="C119" s="179"/>
      <c r="D119" s="179"/>
      <c r="E119" s="179"/>
      <c r="F119" s="179"/>
      <c r="G119" s="194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</row>
    <row r="120">
      <c r="A120" s="179"/>
      <c r="B120" s="179"/>
      <c r="C120" s="179"/>
      <c r="D120" s="179"/>
      <c r="E120" s="179"/>
      <c r="F120" s="179"/>
      <c r="G120" s="194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</row>
    <row r="121">
      <c r="A121" s="179"/>
      <c r="B121" s="179"/>
      <c r="C121" s="179"/>
      <c r="D121" s="179"/>
      <c r="E121" s="179"/>
      <c r="F121" s="179"/>
      <c r="G121" s="194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</row>
    <row r="122">
      <c r="A122" s="179"/>
      <c r="B122" s="179"/>
      <c r="C122" s="179"/>
      <c r="D122" s="179"/>
      <c r="E122" s="179"/>
      <c r="F122" s="179"/>
      <c r="G122" s="194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</row>
    <row r="123">
      <c r="A123" s="179"/>
      <c r="B123" s="179"/>
      <c r="C123" s="179"/>
      <c r="D123" s="179"/>
      <c r="E123" s="179"/>
      <c r="F123" s="179"/>
      <c r="G123" s="194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</row>
    <row r="124">
      <c r="A124" s="179"/>
      <c r="B124" s="179"/>
      <c r="C124" s="179"/>
      <c r="D124" s="179"/>
      <c r="E124" s="179"/>
      <c r="F124" s="179"/>
      <c r="G124" s="194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</row>
    <row r="125">
      <c r="A125" s="179"/>
      <c r="B125" s="179"/>
      <c r="C125" s="179"/>
      <c r="D125" s="179"/>
      <c r="E125" s="179"/>
      <c r="F125" s="179"/>
      <c r="G125" s="194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</row>
    <row r="126">
      <c r="A126" s="179"/>
      <c r="B126" s="179"/>
      <c r="C126" s="179"/>
      <c r="D126" s="179"/>
      <c r="E126" s="179"/>
      <c r="F126" s="179"/>
      <c r="G126" s="194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</row>
    <row r="127">
      <c r="A127" s="179"/>
      <c r="B127" s="179"/>
      <c r="C127" s="179"/>
      <c r="D127" s="179"/>
      <c r="E127" s="179"/>
      <c r="F127" s="179"/>
      <c r="G127" s="194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</row>
    <row r="128">
      <c r="A128" s="179"/>
      <c r="B128" s="179"/>
      <c r="C128" s="179"/>
      <c r="D128" s="179"/>
      <c r="E128" s="179"/>
      <c r="F128" s="179"/>
      <c r="G128" s="194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</row>
    <row r="129">
      <c r="A129" s="179"/>
      <c r="B129" s="179"/>
      <c r="C129" s="179"/>
      <c r="D129" s="179"/>
      <c r="E129" s="179"/>
      <c r="F129" s="179"/>
      <c r="G129" s="194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</row>
    <row r="130">
      <c r="A130" s="179"/>
      <c r="B130" s="179"/>
      <c r="C130" s="179"/>
      <c r="D130" s="179"/>
      <c r="E130" s="179"/>
      <c r="F130" s="179"/>
      <c r="G130" s="194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</row>
    <row r="131">
      <c r="A131" s="179"/>
      <c r="B131" s="179"/>
      <c r="C131" s="179"/>
      <c r="D131" s="179"/>
      <c r="E131" s="179"/>
      <c r="F131" s="179"/>
      <c r="G131" s="194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</row>
    <row r="132">
      <c r="A132" s="179"/>
      <c r="B132" s="179"/>
      <c r="C132" s="179"/>
      <c r="D132" s="179"/>
      <c r="E132" s="179"/>
      <c r="F132" s="179"/>
      <c r="G132" s="194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</row>
    <row r="133">
      <c r="A133" s="179"/>
      <c r="B133" s="179"/>
      <c r="C133" s="179"/>
      <c r="D133" s="179"/>
      <c r="E133" s="179"/>
      <c r="F133" s="179"/>
      <c r="G133" s="194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</row>
    <row r="134">
      <c r="A134" s="179"/>
      <c r="B134" s="179"/>
      <c r="C134" s="179"/>
      <c r="D134" s="179"/>
      <c r="E134" s="179"/>
      <c r="F134" s="179"/>
      <c r="G134" s="194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</row>
    <row r="135">
      <c r="A135" s="179"/>
      <c r="B135" s="179"/>
      <c r="C135" s="179"/>
      <c r="D135" s="179"/>
      <c r="E135" s="179"/>
      <c r="F135" s="179"/>
      <c r="G135" s="194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</row>
    <row r="136">
      <c r="A136" s="179"/>
      <c r="B136" s="179"/>
      <c r="C136" s="179"/>
      <c r="D136" s="179"/>
      <c r="E136" s="179"/>
      <c r="F136" s="179"/>
      <c r="G136" s="194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</row>
    <row r="137">
      <c r="A137" s="179"/>
      <c r="B137" s="179"/>
      <c r="C137" s="179"/>
      <c r="D137" s="179"/>
      <c r="E137" s="179"/>
      <c r="F137" s="179"/>
      <c r="G137" s="194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</row>
    <row r="138">
      <c r="A138" s="179"/>
      <c r="B138" s="179"/>
      <c r="C138" s="179"/>
      <c r="D138" s="179"/>
      <c r="E138" s="179"/>
      <c r="F138" s="179"/>
      <c r="G138" s="194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</row>
    <row r="139">
      <c r="A139" s="179"/>
      <c r="B139" s="179"/>
      <c r="C139" s="179"/>
      <c r="D139" s="179"/>
      <c r="E139" s="179"/>
      <c r="F139" s="179"/>
      <c r="G139" s="194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</row>
    <row r="140">
      <c r="A140" s="179"/>
      <c r="B140" s="179"/>
      <c r="C140" s="179"/>
      <c r="D140" s="179"/>
      <c r="E140" s="179"/>
      <c r="F140" s="179"/>
      <c r="G140" s="194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</row>
    <row r="141">
      <c r="A141" s="179"/>
      <c r="B141" s="179"/>
      <c r="C141" s="179"/>
      <c r="D141" s="179"/>
      <c r="E141" s="179"/>
      <c r="F141" s="179"/>
      <c r="G141" s="194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</row>
    <row r="142">
      <c r="A142" s="179"/>
      <c r="B142" s="179"/>
      <c r="C142" s="179"/>
      <c r="D142" s="179"/>
      <c r="E142" s="179"/>
      <c r="F142" s="179"/>
      <c r="G142" s="194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</row>
    <row r="143">
      <c r="A143" s="179"/>
      <c r="B143" s="179"/>
      <c r="C143" s="179"/>
      <c r="D143" s="179"/>
      <c r="E143" s="179"/>
      <c r="F143" s="179"/>
      <c r="G143" s="194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</row>
    <row r="144">
      <c r="A144" s="179"/>
      <c r="B144" s="179"/>
      <c r="C144" s="179"/>
      <c r="D144" s="179"/>
      <c r="E144" s="179"/>
      <c r="F144" s="179"/>
      <c r="G144" s="194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</row>
    <row r="145">
      <c r="A145" s="179"/>
      <c r="B145" s="179"/>
      <c r="C145" s="179"/>
      <c r="D145" s="179"/>
      <c r="E145" s="179"/>
      <c r="F145" s="179"/>
      <c r="G145" s="194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</row>
    <row r="146">
      <c r="A146" s="179"/>
      <c r="B146" s="179"/>
      <c r="C146" s="179"/>
      <c r="D146" s="179"/>
      <c r="E146" s="179"/>
      <c r="F146" s="179"/>
      <c r="G146" s="194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</row>
    <row r="147">
      <c r="A147" s="179"/>
      <c r="B147" s="179"/>
      <c r="C147" s="179"/>
      <c r="D147" s="179"/>
      <c r="E147" s="179"/>
      <c r="F147" s="179"/>
      <c r="G147" s="194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</row>
    <row r="148">
      <c r="A148" s="179"/>
      <c r="B148" s="179"/>
      <c r="C148" s="179"/>
      <c r="D148" s="179"/>
      <c r="E148" s="179"/>
      <c r="F148" s="179"/>
      <c r="G148" s="194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</row>
    <row r="149">
      <c r="A149" s="179"/>
      <c r="B149" s="179"/>
      <c r="C149" s="179"/>
      <c r="D149" s="179"/>
      <c r="E149" s="179"/>
      <c r="F149" s="179"/>
      <c r="G149" s="194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</row>
    <row r="150">
      <c r="A150" s="179"/>
      <c r="B150" s="179"/>
      <c r="C150" s="179"/>
      <c r="D150" s="179"/>
      <c r="E150" s="179"/>
      <c r="F150" s="179"/>
      <c r="G150" s="194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</row>
    <row r="151">
      <c r="A151" s="179"/>
      <c r="B151" s="179"/>
      <c r="C151" s="179"/>
      <c r="D151" s="179"/>
      <c r="E151" s="179"/>
      <c r="F151" s="179"/>
      <c r="G151" s="194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</row>
    <row r="152">
      <c r="A152" s="179"/>
      <c r="B152" s="179"/>
      <c r="C152" s="179"/>
      <c r="D152" s="179"/>
      <c r="E152" s="179"/>
      <c r="F152" s="179"/>
      <c r="G152" s="194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</row>
    <row r="153">
      <c r="A153" s="179"/>
      <c r="B153" s="179"/>
      <c r="C153" s="179"/>
      <c r="D153" s="179"/>
      <c r="E153" s="179"/>
      <c r="F153" s="179"/>
      <c r="G153" s="194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</row>
    <row r="154">
      <c r="A154" s="179"/>
      <c r="B154" s="179"/>
      <c r="C154" s="179"/>
      <c r="D154" s="179"/>
      <c r="E154" s="179"/>
      <c r="F154" s="179"/>
      <c r="G154" s="194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</row>
    <row r="155">
      <c r="A155" s="179"/>
      <c r="B155" s="179"/>
      <c r="C155" s="179"/>
      <c r="D155" s="179"/>
      <c r="E155" s="179"/>
      <c r="F155" s="179"/>
      <c r="G155" s="194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</row>
    <row r="156">
      <c r="A156" s="179"/>
      <c r="B156" s="179"/>
      <c r="C156" s="179"/>
      <c r="D156" s="179"/>
      <c r="E156" s="179"/>
      <c r="F156" s="179"/>
      <c r="G156" s="194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</row>
    <row r="157">
      <c r="A157" s="179"/>
      <c r="B157" s="179"/>
      <c r="C157" s="179"/>
      <c r="D157" s="179"/>
      <c r="E157" s="179"/>
      <c r="F157" s="179"/>
      <c r="G157" s="194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</row>
    <row r="158">
      <c r="A158" s="179"/>
      <c r="B158" s="179"/>
      <c r="C158" s="179"/>
      <c r="D158" s="179"/>
      <c r="E158" s="179"/>
      <c r="F158" s="179"/>
      <c r="G158" s="194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</row>
    <row r="159">
      <c r="A159" s="179"/>
      <c r="B159" s="179"/>
      <c r="C159" s="179"/>
      <c r="D159" s="179"/>
      <c r="E159" s="179"/>
      <c r="F159" s="179"/>
      <c r="G159" s="194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</row>
    <row r="160">
      <c r="A160" s="179"/>
      <c r="B160" s="179"/>
      <c r="C160" s="179"/>
      <c r="D160" s="179"/>
      <c r="E160" s="179"/>
      <c r="F160" s="179"/>
      <c r="G160" s="194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</row>
    <row r="161">
      <c r="A161" s="179"/>
      <c r="B161" s="179"/>
      <c r="C161" s="179"/>
      <c r="D161" s="179"/>
      <c r="E161" s="179"/>
      <c r="F161" s="179"/>
      <c r="G161" s="194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</row>
    <row r="162">
      <c r="A162" s="179"/>
      <c r="B162" s="179"/>
      <c r="C162" s="179"/>
      <c r="D162" s="179"/>
      <c r="E162" s="179"/>
      <c r="F162" s="179"/>
      <c r="G162" s="194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</row>
    <row r="163">
      <c r="A163" s="179"/>
      <c r="B163" s="179"/>
      <c r="C163" s="179"/>
      <c r="D163" s="179"/>
      <c r="E163" s="179"/>
      <c r="F163" s="179"/>
      <c r="G163" s="194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</row>
    <row r="164">
      <c r="A164" s="179"/>
      <c r="B164" s="179"/>
      <c r="C164" s="179"/>
      <c r="D164" s="179"/>
      <c r="E164" s="179"/>
      <c r="F164" s="179"/>
      <c r="G164" s="194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</row>
    <row r="165">
      <c r="A165" s="179"/>
      <c r="B165" s="179"/>
      <c r="C165" s="179"/>
      <c r="D165" s="179"/>
      <c r="E165" s="179"/>
      <c r="F165" s="179"/>
      <c r="G165" s="194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</row>
    <row r="166">
      <c r="A166" s="179"/>
      <c r="B166" s="179"/>
      <c r="C166" s="179"/>
      <c r="D166" s="179"/>
      <c r="E166" s="179"/>
      <c r="F166" s="179"/>
      <c r="G166" s="194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</row>
    <row r="167">
      <c r="A167" s="179"/>
      <c r="B167" s="179"/>
      <c r="C167" s="179"/>
      <c r="D167" s="179"/>
      <c r="E167" s="179"/>
      <c r="F167" s="179"/>
      <c r="G167" s="194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</row>
    <row r="168">
      <c r="A168" s="179"/>
      <c r="B168" s="179"/>
      <c r="C168" s="179"/>
      <c r="D168" s="179"/>
      <c r="E168" s="179"/>
      <c r="F168" s="179"/>
      <c r="G168" s="194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</row>
    <row r="169">
      <c r="A169" s="179"/>
      <c r="B169" s="179"/>
      <c r="C169" s="179"/>
      <c r="D169" s="179"/>
      <c r="E169" s="179"/>
      <c r="F169" s="179"/>
      <c r="G169" s="194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</row>
    <row r="170">
      <c r="A170" s="179"/>
      <c r="B170" s="179"/>
      <c r="C170" s="179"/>
      <c r="D170" s="179"/>
      <c r="E170" s="179"/>
      <c r="F170" s="179"/>
      <c r="G170" s="194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</row>
    <row r="171">
      <c r="A171" s="179"/>
      <c r="B171" s="179"/>
      <c r="C171" s="179"/>
      <c r="D171" s="179"/>
      <c r="E171" s="179"/>
      <c r="F171" s="179"/>
      <c r="G171" s="194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</row>
    <row r="172">
      <c r="A172" s="179"/>
      <c r="B172" s="179"/>
      <c r="C172" s="179"/>
      <c r="D172" s="179"/>
      <c r="E172" s="179"/>
      <c r="F172" s="179"/>
      <c r="G172" s="194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</row>
    <row r="173">
      <c r="A173" s="179"/>
      <c r="B173" s="179"/>
      <c r="C173" s="179"/>
      <c r="D173" s="179"/>
      <c r="E173" s="179"/>
      <c r="F173" s="179"/>
      <c r="G173" s="194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</row>
    <row r="174">
      <c r="A174" s="179"/>
      <c r="B174" s="179"/>
      <c r="C174" s="179"/>
      <c r="D174" s="179"/>
      <c r="E174" s="179"/>
      <c r="F174" s="179"/>
      <c r="G174" s="194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</row>
    <row r="175">
      <c r="A175" s="179"/>
      <c r="B175" s="179"/>
      <c r="C175" s="179"/>
      <c r="D175" s="179"/>
      <c r="E175" s="179"/>
      <c r="F175" s="179"/>
      <c r="G175" s="194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</row>
    <row r="176">
      <c r="A176" s="179"/>
      <c r="B176" s="179"/>
      <c r="C176" s="179"/>
      <c r="D176" s="179"/>
      <c r="E176" s="179"/>
      <c r="F176" s="179"/>
      <c r="G176" s="194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</row>
    <row r="177">
      <c r="A177" s="179"/>
      <c r="B177" s="179"/>
      <c r="C177" s="179"/>
      <c r="D177" s="179"/>
      <c r="E177" s="179"/>
      <c r="F177" s="179"/>
      <c r="G177" s="194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</row>
    <row r="178">
      <c r="A178" s="179"/>
      <c r="B178" s="179"/>
      <c r="C178" s="179"/>
      <c r="D178" s="179"/>
      <c r="E178" s="179"/>
      <c r="F178" s="179"/>
      <c r="G178" s="194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</row>
    <row r="179">
      <c r="A179" s="179"/>
      <c r="B179" s="179"/>
      <c r="C179" s="179"/>
      <c r="D179" s="179"/>
      <c r="E179" s="179"/>
      <c r="F179" s="179"/>
      <c r="G179" s="194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</row>
    <row r="180">
      <c r="A180" s="179"/>
      <c r="B180" s="179"/>
      <c r="C180" s="179"/>
      <c r="D180" s="179"/>
      <c r="E180" s="179"/>
      <c r="F180" s="179"/>
      <c r="G180" s="194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</row>
    <row r="181">
      <c r="A181" s="179"/>
      <c r="B181" s="179"/>
      <c r="C181" s="179"/>
      <c r="D181" s="179"/>
      <c r="E181" s="179"/>
      <c r="F181" s="179"/>
      <c r="G181" s="194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</row>
    <row r="182">
      <c r="A182" s="179"/>
      <c r="B182" s="179"/>
      <c r="C182" s="179"/>
      <c r="D182" s="179"/>
      <c r="E182" s="179"/>
      <c r="F182" s="179"/>
      <c r="G182" s="194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</row>
    <row r="183">
      <c r="A183" s="179"/>
      <c r="B183" s="179"/>
      <c r="C183" s="179"/>
      <c r="D183" s="179"/>
      <c r="E183" s="179"/>
      <c r="F183" s="179"/>
      <c r="G183" s="194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</row>
    <row r="184">
      <c r="A184" s="179"/>
      <c r="B184" s="179"/>
      <c r="C184" s="179"/>
      <c r="D184" s="179"/>
      <c r="E184" s="179"/>
      <c r="F184" s="179"/>
      <c r="G184" s="194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</row>
    <row r="185">
      <c r="A185" s="179"/>
      <c r="B185" s="179"/>
      <c r="C185" s="179"/>
      <c r="D185" s="179"/>
      <c r="E185" s="179"/>
      <c r="F185" s="179"/>
      <c r="G185" s="194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</row>
    <row r="186">
      <c r="A186" s="179"/>
      <c r="B186" s="179"/>
      <c r="C186" s="179"/>
      <c r="D186" s="179"/>
      <c r="E186" s="179"/>
      <c r="F186" s="179"/>
      <c r="G186" s="194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</row>
    <row r="187">
      <c r="A187" s="179"/>
      <c r="B187" s="179"/>
      <c r="C187" s="179"/>
      <c r="D187" s="179"/>
      <c r="E187" s="179"/>
      <c r="F187" s="179"/>
      <c r="G187" s="194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</row>
    <row r="188">
      <c r="A188" s="179"/>
      <c r="B188" s="179"/>
      <c r="C188" s="179"/>
      <c r="D188" s="179"/>
      <c r="E188" s="179"/>
      <c r="F188" s="179"/>
      <c r="G188" s="194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</row>
    <row r="189">
      <c r="A189" s="179"/>
      <c r="B189" s="179"/>
      <c r="C189" s="179"/>
      <c r="D189" s="179"/>
      <c r="E189" s="179"/>
      <c r="F189" s="179"/>
      <c r="G189" s="194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</row>
    <row r="190">
      <c r="A190" s="179"/>
      <c r="B190" s="179"/>
      <c r="C190" s="179"/>
      <c r="D190" s="179"/>
      <c r="E190" s="179"/>
      <c r="F190" s="179"/>
      <c r="G190" s="194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</row>
    <row r="191">
      <c r="A191" s="179"/>
      <c r="B191" s="179"/>
      <c r="C191" s="179"/>
      <c r="D191" s="179"/>
      <c r="E191" s="179"/>
      <c r="F191" s="179"/>
      <c r="G191" s="194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</row>
    <row r="192">
      <c r="A192" s="179"/>
      <c r="B192" s="179"/>
      <c r="C192" s="179"/>
      <c r="D192" s="179"/>
      <c r="E192" s="179"/>
      <c r="F192" s="179"/>
      <c r="G192" s="194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</row>
    <row r="193">
      <c r="A193" s="179"/>
      <c r="B193" s="179"/>
      <c r="C193" s="179"/>
      <c r="D193" s="179"/>
      <c r="E193" s="179"/>
      <c r="F193" s="179"/>
      <c r="G193" s="194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</row>
    <row r="194">
      <c r="A194" s="179"/>
      <c r="B194" s="179"/>
      <c r="C194" s="179"/>
      <c r="D194" s="179"/>
      <c r="E194" s="179"/>
      <c r="F194" s="179"/>
      <c r="G194" s="194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</row>
    <row r="195">
      <c r="A195" s="179"/>
      <c r="B195" s="179"/>
      <c r="C195" s="179"/>
      <c r="D195" s="179"/>
      <c r="E195" s="179"/>
      <c r="F195" s="179"/>
      <c r="G195" s="194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</row>
    <row r="196">
      <c r="A196" s="179"/>
      <c r="B196" s="179"/>
      <c r="C196" s="179"/>
      <c r="D196" s="179"/>
      <c r="E196" s="179"/>
      <c r="F196" s="179"/>
      <c r="G196" s="194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</row>
    <row r="197">
      <c r="A197" s="179"/>
      <c r="B197" s="179"/>
      <c r="C197" s="179"/>
      <c r="D197" s="179"/>
      <c r="E197" s="179"/>
      <c r="F197" s="179"/>
      <c r="G197" s="194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</row>
    <row r="198">
      <c r="A198" s="179"/>
      <c r="B198" s="179"/>
      <c r="C198" s="179"/>
      <c r="D198" s="179"/>
      <c r="E198" s="179"/>
      <c r="F198" s="179"/>
      <c r="G198" s="194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</row>
    <row r="199">
      <c r="A199" s="179"/>
      <c r="B199" s="179"/>
      <c r="C199" s="179"/>
      <c r="D199" s="179"/>
      <c r="E199" s="179"/>
      <c r="F199" s="179"/>
      <c r="G199" s="194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</row>
    <row r="200">
      <c r="A200" s="179"/>
      <c r="B200" s="179"/>
      <c r="C200" s="179"/>
      <c r="D200" s="179"/>
      <c r="E200" s="179"/>
      <c r="F200" s="179"/>
      <c r="G200" s="194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</row>
    <row r="201">
      <c r="A201" s="179"/>
      <c r="B201" s="179"/>
      <c r="C201" s="179"/>
      <c r="D201" s="179"/>
      <c r="E201" s="179"/>
      <c r="F201" s="179"/>
      <c r="G201" s="194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</row>
    <row r="202">
      <c r="A202" s="179"/>
      <c r="B202" s="179"/>
      <c r="C202" s="179"/>
      <c r="D202" s="179"/>
      <c r="E202" s="179"/>
      <c r="F202" s="179"/>
      <c r="G202" s="194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</row>
    <row r="203">
      <c r="A203" s="179"/>
      <c r="B203" s="179"/>
      <c r="C203" s="179"/>
      <c r="D203" s="179"/>
      <c r="E203" s="179"/>
      <c r="F203" s="179"/>
      <c r="G203" s="194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</row>
    <row r="204">
      <c r="A204" s="179"/>
      <c r="B204" s="179"/>
      <c r="C204" s="179"/>
      <c r="D204" s="179"/>
      <c r="E204" s="179"/>
      <c r="F204" s="179"/>
      <c r="G204" s="194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</row>
    <row r="205">
      <c r="A205" s="179"/>
      <c r="B205" s="179"/>
      <c r="C205" s="179"/>
      <c r="D205" s="179"/>
      <c r="E205" s="179"/>
      <c r="F205" s="179"/>
      <c r="G205" s="194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</row>
    <row r="206">
      <c r="A206" s="179"/>
      <c r="B206" s="179"/>
      <c r="C206" s="179"/>
      <c r="D206" s="179"/>
      <c r="E206" s="179"/>
      <c r="F206" s="179"/>
      <c r="G206" s="194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</row>
    <row r="207">
      <c r="A207" s="179"/>
      <c r="B207" s="179"/>
      <c r="C207" s="179"/>
      <c r="D207" s="179"/>
      <c r="E207" s="179"/>
      <c r="F207" s="179"/>
      <c r="G207" s="194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</row>
    <row r="208">
      <c r="A208" s="179"/>
      <c r="B208" s="179"/>
      <c r="C208" s="179"/>
      <c r="D208" s="179"/>
      <c r="E208" s="179"/>
      <c r="F208" s="179"/>
      <c r="G208" s="194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</row>
    <row r="209">
      <c r="A209" s="179"/>
      <c r="B209" s="179"/>
      <c r="C209" s="179"/>
      <c r="D209" s="179"/>
      <c r="E209" s="179"/>
      <c r="F209" s="179"/>
      <c r="G209" s="194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</row>
    <row r="210">
      <c r="A210" s="179"/>
      <c r="B210" s="179"/>
      <c r="C210" s="179"/>
      <c r="D210" s="179"/>
      <c r="E210" s="179"/>
      <c r="F210" s="179"/>
      <c r="G210" s="194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</row>
    <row r="211">
      <c r="A211" s="179"/>
      <c r="B211" s="179"/>
      <c r="C211" s="179"/>
      <c r="D211" s="179"/>
      <c r="E211" s="179"/>
      <c r="F211" s="179"/>
      <c r="G211" s="194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</row>
    <row r="212">
      <c r="A212" s="179"/>
      <c r="B212" s="179"/>
      <c r="C212" s="179"/>
      <c r="D212" s="179"/>
      <c r="E212" s="179"/>
      <c r="F212" s="179"/>
      <c r="G212" s="194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</row>
    <row r="213">
      <c r="A213" s="179"/>
      <c r="B213" s="179"/>
      <c r="C213" s="179"/>
      <c r="D213" s="179"/>
      <c r="E213" s="179"/>
      <c r="F213" s="179"/>
      <c r="G213" s="194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</row>
    <row r="214">
      <c r="A214" s="179"/>
      <c r="B214" s="179"/>
      <c r="C214" s="179"/>
      <c r="D214" s="179"/>
      <c r="E214" s="179"/>
      <c r="F214" s="179"/>
      <c r="G214" s="194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</row>
    <row r="215">
      <c r="A215" s="179"/>
      <c r="B215" s="179"/>
      <c r="C215" s="179"/>
      <c r="D215" s="179"/>
      <c r="E215" s="179"/>
      <c r="F215" s="179"/>
      <c r="G215" s="194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</row>
    <row r="216">
      <c r="A216" s="179"/>
      <c r="B216" s="179"/>
      <c r="C216" s="179"/>
      <c r="D216" s="179"/>
      <c r="E216" s="179"/>
      <c r="F216" s="179"/>
      <c r="G216" s="194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</row>
    <row r="217">
      <c r="A217" s="179"/>
      <c r="B217" s="179"/>
      <c r="C217" s="179"/>
      <c r="D217" s="179"/>
      <c r="E217" s="179"/>
      <c r="F217" s="179"/>
      <c r="G217" s="194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</row>
    <row r="218">
      <c r="A218" s="179"/>
      <c r="B218" s="179"/>
      <c r="C218" s="179"/>
      <c r="D218" s="179"/>
      <c r="E218" s="179"/>
      <c r="F218" s="179"/>
      <c r="G218" s="194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</row>
    <row r="219">
      <c r="A219" s="179"/>
      <c r="B219" s="179"/>
      <c r="C219" s="179"/>
      <c r="D219" s="179"/>
      <c r="E219" s="179"/>
      <c r="F219" s="179"/>
      <c r="G219" s="194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</row>
    <row r="220">
      <c r="A220" s="179"/>
      <c r="B220" s="179"/>
      <c r="C220" s="179"/>
      <c r="D220" s="179"/>
      <c r="E220" s="179"/>
      <c r="F220" s="179"/>
      <c r="G220" s="194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</row>
    <row r="221">
      <c r="A221" s="179"/>
      <c r="B221" s="179"/>
      <c r="C221" s="179"/>
      <c r="D221" s="179"/>
      <c r="E221" s="179"/>
      <c r="F221" s="179"/>
      <c r="G221" s="194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</row>
    <row r="222">
      <c r="A222" s="179"/>
      <c r="B222" s="179"/>
      <c r="C222" s="179"/>
      <c r="D222" s="179"/>
      <c r="E222" s="179"/>
      <c r="F222" s="179"/>
      <c r="G222" s="194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</row>
    <row r="223">
      <c r="A223" s="179"/>
      <c r="B223" s="179"/>
      <c r="C223" s="179"/>
      <c r="D223" s="179"/>
      <c r="E223" s="179"/>
      <c r="F223" s="179"/>
      <c r="G223" s="194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</row>
    <row r="224">
      <c r="A224" s="179"/>
      <c r="B224" s="179"/>
      <c r="C224" s="179"/>
      <c r="D224" s="179"/>
      <c r="E224" s="179"/>
      <c r="F224" s="179"/>
      <c r="G224" s="194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</row>
    <row r="225">
      <c r="A225" s="179"/>
      <c r="B225" s="179"/>
      <c r="C225" s="179"/>
      <c r="D225" s="179"/>
      <c r="E225" s="179"/>
      <c r="F225" s="179"/>
      <c r="G225" s="194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</row>
    <row r="226">
      <c r="A226" s="179"/>
      <c r="B226" s="179"/>
      <c r="C226" s="179"/>
      <c r="D226" s="179"/>
      <c r="E226" s="179"/>
      <c r="F226" s="179"/>
      <c r="G226" s="194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</row>
    <row r="227">
      <c r="A227" s="179"/>
      <c r="B227" s="179"/>
      <c r="C227" s="179"/>
      <c r="D227" s="179"/>
      <c r="E227" s="179"/>
      <c r="F227" s="179"/>
      <c r="G227" s="194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</row>
    <row r="228">
      <c r="A228" s="179"/>
      <c r="B228" s="179"/>
      <c r="C228" s="179"/>
      <c r="D228" s="179"/>
      <c r="E228" s="179"/>
      <c r="F228" s="179"/>
      <c r="G228" s="194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</row>
    <row r="229">
      <c r="A229" s="179"/>
      <c r="B229" s="179"/>
      <c r="C229" s="179"/>
      <c r="D229" s="179"/>
      <c r="E229" s="179"/>
      <c r="F229" s="179"/>
      <c r="G229" s="194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</row>
    <row r="230">
      <c r="A230" s="179"/>
      <c r="B230" s="179"/>
      <c r="C230" s="179"/>
      <c r="D230" s="179"/>
      <c r="E230" s="179"/>
      <c r="F230" s="179"/>
      <c r="G230" s="194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</row>
    <row r="231">
      <c r="A231" s="179"/>
      <c r="B231" s="179"/>
      <c r="C231" s="179"/>
      <c r="D231" s="179"/>
      <c r="E231" s="179"/>
      <c r="F231" s="179"/>
      <c r="G231" s="194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</row>
    <row r="232">
      <c r="A232" s="179"/>
      <c r="B232" s="179"/>
      <c r="C232" s="179"/>
      <c r="D232" s="179"/>
      <c r="E232" s="179"/>
      <c r="F232" s="179"/>
      <c r="G232" s="194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</row>
    <row r="233">
      <c r="A233" s="179"/>
      <c r="B233" s="179"/>
      <c r="C233" s="179"/>
      <c r="D233" s="179"/>
      <c r="E233" s="179"/>
      <c r="F233" s="179"/>
      <c r="G233" s="194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</row>
    <row r="234">
      <c r="A234" s="179"/>
      <c r="B234" s="179"/>
      <c r="C234" s="179"/>
      <c r="D234" s="179"/>
      <c r="E234" s="179"/>
      <c r="F234" s="179"/>
      <c r="G234" s="194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</row>
    <row r="235">
      <c r="A235" s="179"/>
      <c r="B235" s="179"/>
      <c r="C235" s="179"/>
      <c r="D235" s="179"/>
      <c r="E235" s="179"/>
      <c r="F235" s="179"/>
      <c r="G235" s="194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</row>
    <row r="236">
      <c r="A236" s="179"/>
      <c r="B236" s="179"/>
      <c r="C236" s="179"/>
      <c r="D236" s="179"/>
      <c r="E236" s="179"/>
      <c r="F236" s="179"/>
      <c r="G236" s="194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</row>
    <row r="237">
      <c r="A237" s="179"/>
      <c r="B237" s="179"/>
      <c r="C237" s="179"/>
      <c r="D237" s="179"/>
      <c r="E237" s="179"/>
      <c r="F237" s="179"/>
      <c r="G237" s="194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</row>
    <row r="238">
      <c r="A238" s="179"/>
      <c r="B238" s="179"/>
      <c r="C238" s="179"/>
      <c r="D238" s="179"/>
      <c r="E238" s="179"/>
      <c r="F238" s="179"/>
      <c r="G238" s="194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</row>
    <row r="239">
      <c r="A239" s="179"/>
      <c r="B239" s="179"/>
      <c r="C239" s="179"/>
      <c r="D239" s="179"/>
      <c r="E239" s="179"/>
      <c r="F239" s="179"/>
      <c r="G239" s="194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</row>
    <row r="240">
      <c r="A240" s="179"/>
      <c r="B240" s="179"/>
      <c r="C240" s="179"/>
      <c r="D240" s="179"/>
      <c r="E240" s="179"/>
      <c r="F240" s="179"/>
      <c r="G240" s="194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</row>
    <row r="241">
      <c r="A241" s="179"/>
      <c r="B241" s="179"/>
      <c r="C241" s="179"/>
      <c r="D241" s="179"/>
      <c r="E241" s="179"/>
      <c r="F241" s="179"/>
      <c r="G241" s="194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</row>
    <row r="242">
      <c r="A242" s="179"/>
      <c r="B242" s="179"/>
      <c r="C242" s="179"/>
      <c r="D242" s="179"/>
      <c r="E242" s="179"/>
      <c r="F242" s="179"/>
      <c r="G242" s="194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</row>
    <row r="243">
      <c r="A243" s="179"/>
      <c r="B243" s="179"/>
      <c r="C243" s="179"/>
      <c r="D243" s="179"/>
      <c r="E243" s="179"/>
      <c r="F243" s="179"/>
      <c r="G243" s="194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</row>
    <row r="244">
      <c r="A244" s="179"/>
      <c r="B244" s="179"/>
      <c r="C244" s="179"/>
      <c r="D244" s="179"/>
      <c r="E244" s="179"/>
      <c r="F244" s="179"/>
      <c r="G244" s="194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</row>
    <row r="245">
      <c r="A245" s="179"/>
      <c r="B245" s="179"/>
      <c r="C245" s="179"/>
      <c r="D245" s="179"/>
      <c r="E245" s="179"/>
      <c r="F245" s="179"/>
      <c r="G245" s="194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</row>
    <row r="246">
      <c r="A246" s="179"/>
      <c r="B246" s="179"/>
      <c r="C246" s="179"/>
      <c r="D246" s="179"/>
      <c r="E246" s="179"/>
      <c r="F246" s="179"/>
      <c r="G246" s="194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</row>
    <row r="247">
      <c r="A247" s="179"/>
      <c r="B247" s="179"/>
      <c r="C247" s="179"/>
      <c r="D247" s="179"/>
      <c r="E247" s="179"/>
      <c r="F247" s="179"/>
      <c r="G247" s="194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</row>
    <row r="248">
      <c r="A248" s="179"/>
      <c r="B248" s="179"/>
      <c r="C248" s="179"/>
      <c r="D248" s="179"/>
      <c r="E248" s="179"/>
      <c r="F248" s="179"/>
      <c r="G248" s="194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</row>
    <row r="249">
      <c r="A249" s="179"/>
      <c r="B249" s="179"/>
      <c r="C249" s="179"/>
      <c r="D249" s="179"/>
      <c r="E249" s="179"/>
      <c r="F249" s="179"/>
      <c r="G249" s="194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</row>
    <row r="250">
      <c r="A250" s="179"/>
      <c r="B250" s="179"/>
      <c r="C250" s="179"/>
      <c r="D250" s="179"/>
      <c r="E250" s="179"/>
      <c r="F250" s="179"/>
      <c r="G250" s="194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</row>
    <row r="251">
      <c r="A251" s="179"/>
      <c r="B251" s="179"/>
      <c r="C251" s="179"/>
      <c r="D251" s="179"/>
      <c r="E251" s="179"/>
      <c r="F251" s="179"/>
      <c r="G251" s="194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</row>
    <row r="252">
      <c r="A252" s="179"/>
      <c r="B252" s="179"/>
      <c r="C252" s="179"/>
      <c r="D252" s="179"/>
      <c r="E252" s="179"/>
      <c r="F252" s="179"/>
      <c r="G252" s="194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</row>
    <row r="253">
      <c r="A253" s="179"/>
      <c r="B253" s="179"/>
      <c r="C253" s="179"/>
      <c r="D253" s="179"/>
      <c r="E253" s="179"/>
      <c r="F253" s="179"/>
      <c r="G253" s="194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</row>
    <row r="254">
      <c r="A254" s="179"/>
      <c r="B254" s="179"/>
      <c r="C254" s="179"/>
      <c r="D254" s="179"/>
      <c r="E254" s="179"/>
      <c r="F254" s="179"/>
      <c r="G254" s="194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</row>
    <row r="255">
      <c r="A255" s="179"/>
      <c r="B255" s="179"/>
      <c r="C255" s="179"/>
      <c r="D255" s="179"/>
      <c r="E255" s="179"/>
      <c r="F255" s="179"/>
      <c r="G255" s="194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</row>
    <row r="256">
      <c r="A256" s="179"/>
      <c r="B256" s="179"/>
      <c r="C256" s="179"/>
      <c r="D256" s="179"/>
      <c r="E256" s="179"/>
      <c r="F256" s="179"/>
      <c r="G256" s="194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</row>
    <row r="257">
      <c r="A257" s="179"/>
      <c r="B257" s="179"/>
      <c r="C257" s="179"/>
      <c r="D257" s="179"/>
      <c r="E257" s="179"/>
      <c r="F257" s="179"/>
      <c r="G257" s="194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</row>
    <row r="258">
      <c r="A258" s="179"/>
      <c r="B258" s="179"/>
      <c r="C258" s="179"/>
      <c r="D258" s="179"/>
      <c r="E258" s="179"/>
      <c r="F258" s="179"/>
      <c r="G258" s="194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</row>
    <row r="259">
      <c r="A259" s="179"/>
      <c r="B259" s="179"/>
      <c r="C259" s="179"/>
      <c r="D259" s="179"/>
      <c r="E259" s="179"/>
      <c r="F259" s="179"/>
      <c r="G259" s="194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</row>
    <row r="260">
      <c r="A260" s="179"/>
      <c r="B260" s="179"/>
      <c r="C260" s="179"/>
      <c r="D260" s="179"/>
      <c r="E260" s="179"/>
      <c r="F260" s="179"/>
      <c r="G260" s="194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</row>
    <row r="261">
      <c r="A261" s="179"/>
      <c r="B261" s="179"/>
      <c r="C261" s="179"/>
      <c r="D261" s="179"/>
      <c r="E261" s="179"/>
      <c r="F261" s="179"/>
      <c r="G261" s="194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</row>
    <row r="262">
      <c r="A262" s="179"/>
      <c r="B262" s="179"/>
      <c r="C262" s="179"/>
      <c r="D262" s="179"/>
      <c r="E262" s="179"/>
      <c r="F262" s="179"/>
      <c r="G262" s="194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</row>
    <row r="263">
      <c r="A263" s="179"/>
      <c r="B263" s="179"/>
      <c r="C263" s="179"/>
      <c r="D263" s="179"/>
      <c r="E263" s="179"/>
      <c r="F263" s="179"/>
      <c r="G263" s="194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</row>
    <row r="264">
      <c r="A264" s="179"/>
      <c r="B264" s="179"/>
      <c r="C264" s="179"/>
      <c r="D264" s="179"/>
      <c r="E264" s="179"/>
      <c r="F264" s="179"/>
      <c r="G264" s="194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</row>
    <row r="265">
      <c r="A265" s="179"/>
      <c r="B265" s="179"/>
      <c r="C265" s="179"/>
      <c r="D265" s="179"/>
      <c r="E265" s="179"/>
      <c r="F265" s="179"/>
      <c r="G265" s="194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</row>
    <row r="266">
      <c r="A266" s="179"/>
      <c r="B266" s="179"/>
      <c r="C266" s="179"/>
      <c r="D266" s="179"/>
      <c r="E266" s="179"/>
      <c r="F266" s="179"/>
      <c r="G266" s="194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</row>
    <row r="267">
      <c r="A267" s="179"/>
      <c r="B267" s="179"/>
      <c r="C267" s="179"/>
      <c r="D267" s="179"/>
      <c r="E267" s="179"/>
      <c r="F267" s="179"/>
      <c r="G267" s="194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</row>
    <row r="268">
      <c r="A268" s="179"/>
      <c r="B268" s="179"/>
      <c r="C268" s="179"/>
      <c r="D268" s="179"/>
      <c r="E268" s="179"/>
      <c r="F268" s="179"/>
      <c r="G268" s="194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</row>
    <row r="269">
      <c r="A269" s="179"/>
      <c r="B269" s="179"/>
      <c r="C269" s="179"/>
      <c r="D269" s="179"/>
      <c r="E269" s="179"/>
      <c r="F269" s="179"/>
      <c r="G269" s="194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</row>
    <row r="270">
      <c r="A270" s="179"/>
      <c r="B270" s="179"/>
      <c r="C270" s="179"/>
      <c r="D270" s="179"/>
      <c r="E270" s="179"/>
      <c r="F270" s="179"/>
      <c r="G270" s="194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</row>
    <row r="271">
      <c r="A271" s="179"/>
      <c r="B271" s="179"/>
      <c r="C271" s="179"/>
      <c r="D271" s="179"/>
      <c r="E271" s="179"/>
      <c r="F271" s="179"/>
      <c r="G271" s="194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</row>
    <row r="272">
      <c r="A272" s="179"/>
      <c r="B272" s="179"/>
      <c r="C272" s="179"/>
      <c r="D272" s="179"/>
      <c r="E272" s="179"/>
      <c r="F272" s="179"/>
      <c r="G272" s="194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</row>
    <row r="273">
      <c r="A273" s="179"/>
      <c r="B273" s="179"/>
      <c r="C273" s="179"/>
      <c r="D273" s="179"/>
      <c r="E273" s="179"/>
      <c r="F273" s="179"/>
      <c r="G273" s="194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</row>
    <row r="274">
      <c r="A274" s="179"/>
      <c r="B274" s="179"/>
      <c r="C274" s="179"/>
      <c r="D274" s="179"/>
      <c r="E274" s="179"/>
      <c r="F274" s="179"/>
      <c r="G274" s="194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</row>
    <row r="275">
      <c r="A275" s="179"/>
      <c r="B275" s="179"/>
      <c r="C275" s="179"/>
      <c r="D275" s="179"/>
      <c r="E275" s="179"/>
      <c r="F275" s="179"/>
      <c r="G275" s="194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</row>
    <row r="276">
      <c r="A276" s="179"/>
      <c r="B276" s="179"/>
      <c r="C276" s="179"/>
      <c r="D276" s="179"/>
      <c r="E276" s="179"/>
      <c r="F276" s="179"/>
      <c r="G276" s="194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</row>
    <row r="277">
      <c r="A277" s="179"/>
      <c r="B277" s="179"/>
      <c r="C277" s="179"/>
      <c r="D277" s="179"/>
      <c r="E277" s="179"/>
      <c r="F277" s="179"/>
      <c r="G277" s="194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</row>
    <row r="278">
      <c r="A278" s="179"/>
      <c r="B278" s="179"/>
      <c r="C278" s="179"/>
      <c r="D278" s="179"/>
      <c r="E278" s="179"/>
      <c r="F278" s="179"/>
      <c r="G278" s="194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</row>
    <row r="279">
      <c r="A279" s="179"/>
      <c r="B279" s="179"/>
      <c r="C279" s="179"/>
      <c r="D279" s="179"/>
      <c r="E279" s="179"/>
      <c r="F279" s="179"/>
      <c r="G279" s="194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</row>
    <row r="280">
      <c r="A280" s="179"/>
      <c r="B280" s="179"/>
      <c r="C280" s="179"/>
      <c r="D280" s="179"/>
      <c r="E280" s="179"/>
      <c r="F280" s="179"/>
      <c r="G280" s="194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</row>
    <row r="281">
      <c r="A281" s="179"/>
      <c r="B281" s="179"/>
      <c r="C281" s="179"/>
      <c r="D281" s="179"/>
      <c r="E281" s="179"/>
      <c r="F281" s="179"/>
      <c r="G281" s="194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</row>
    <row r="282">
      <c r="A282" s="179"/>
      <c r="B282" s="179"/>
      <c r="C282" s="179"/>
      <c r="D282" s="179"/>
      <c r="E282" s="179"/>
      <c r="F282" s="179"/>
      <c r="G282" s="194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</row>
    <row r="283">
      <c r="A283" s="179"/>
      <c r="B283" s="179"/>
      <c r="C283" s="179"/>
      <c r="D283" s="179"/>
      <c r="E283" s="179"/>
      <c r="F283" s="179"/>
      <c r="G283" s="194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</row>
    <row r="284">
      <c r="A284" s="179"/>
      <c r="B284" s="179"/>
      <c r="C284" s="179"/>
      <c r="D284" s="179"/>
      <c r="E284" s="179"/>
      <c r="F284" s="179"/>
      <c r="G284" s="194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</row>
    <row r="285">
      <c r="A285" s="179"/>
      <c r="B285" s="179"/>
      <c r="C285" s="179"/>
      <c r="D285" s="179"/>
      <c r="E285" s="179"/>
      <c r="F285" s="179"/>
      <c r="G285" s="194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</row>
    <row r="286">
      <c r="A286" s="179"/>
      <c r="B286" s="179"/>
      <c r="C286" s="179"/>
      <c r="D286" s="179"/>
      <c r="E286" s="179"/>
      <c r="F286" s="179"/>
      <c r="G286" s="194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</row>
    <row r="287">
      <c r="A287" s="179"/>
      <c r="B287" s="179"/>
      <c r="C287" s="179"/>
      <c r="D287" s="179"/>
      <c r="E287" s="179"/>
      <c r="F287" s="179"/>
      <c r="G287" s="194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</row>
    <row r="288">
      <c r="A288" s="179"/>
      <c r="B288" s="179"/>
      <c r="C288" s="179"/>
      <c r="D288" s="179"/>
      <c r="E288" s="179"/>
      <c r="F288" s="179"/>
      <c r="G288" s="194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</row>
    <row r="289">
      <c r="A289" s="179"/>
      <c r="B289" s="179"/>
      <c r="C289" s="179"/>
      <c r="D289" s="179"/>
      <c r="E289" s="179"/>
      <c r="F289" s="179"/>
      <c r="G289" s="194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</row>
    <row r="290">
      <c r="A290" s="179"/>
      <c r="B290" s="179"/>
      <c r="C290" s="179"/>
      <c r="D290" s="179"/>
      <c r="E290" s="179"/>
      <c r="F290" s="179"/>
      <c r="G290" s="194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</row>
    <row r="291">
      <c r="A291" s="179"/>
      <c r="B291" s="179"/>
      <c r="C291" s="179"/>
      <c r="D291" s="179"/>
      <c r="E291" s="179"/>
      <c r="F291" s="179"/>
      <c r="G291" s="194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</row>
    <row r="292">
      <c r="A292" s="179"/>
      <c r="B292" s="179"/>
      <c r="C292" s="179"/>
      <c r="D292" s="179"/>
      <c r="E292" s="179"/>
      <c r="F292" s="179"/>
      <c r="G292" s="194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</row>
    <row r="293">
      <c r="A293" s="179"/>
      <c r="B293" s="179"/>
      <c r="C293" s="179"/>
      <c r="D293" s="179"/>
      <c r="E293" s="179"/>
      <c r="F293" s="179"/>
      <c r="G293" s="194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</row>
    <row r="294">
      <c r="A294" s="179"/>
      <c r="B294" s="179"/>
      <c r="C294" s="179"/>
      <c r="D294" s="179"/>
      <c r="E294" s="179"/>
      <c r="F294" s="179"/>
      <c r="G294" s="194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</row>
    <row r="295">
      <c r="A295" s="179"/>
      <c r="B295" s="179"/>
      <c r="C295" s="179"/>
      <c r="D295" s="179"/>
      <c r="E295" s="179"/>
      <c r="F295" s="179"/>
      <c r="G295" s="194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</row>
    <row r="296">
      <c r="A296" s="179"/>
      <c r="B296" s="179"/>
      <c r="C296" s="179"/>
      <c r="D296" s="179"/>
      <c r="E296" s="179"/>
      <c r="F296" s="179"/>
      <c r="G296" s="194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</row>
    <row r="297">
      <c r="A297" s="179"/>
      <c r="B297" s="179"/>
      <c r="C297" s="179"/>
      <c r="D297" s="179"/>
      <c r="E297" s="179"/>
      <c r="F297" s="179"/>
      <c r="G297" s="194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</row>
    <row r="298">
      <c r="A298" s="179"/>
      <c r="B298" s="179"/>
      <c r="C298" s="179"/>
      <c r="D298" s="179"/>
      <c r="E298" s="179"/>
      <c r="F298" s="179"/>
      <c r="G298" s="194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</row>
    <row r="299">
      <c r="A299" s="179"/>
      <c r="B299" s="179"/>
      <c r="C299" s="179"/>
      <c r="D299" s="179"/>
      <c r="E299" s="179"/>
      <c r="F299" s="179"/>
      <c r="G299" s="194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</row>
    <row r="300">
      <c r="A300" s="179"/>
      <c r="B300" s="179"/>
      <c r="C300" s="179"/>
      <c r="D300" s="179"/>
      <c r="E300" s="179"/>
      <c r="F300" s="179"/>
      <c r="G300" s="194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</row>
    <row r="301">
      <c r="A301" s="179"/>
      <c r="B301" s="179"/>
      <c r="C301" s="179"/>
      <c r="D301" s="179"/>
      <c r="E301" s="179"/>
      <c r="F301" s="179"/>
      <c r="G301" s="194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</row>
    <row r="302">
      <c r="A302" s="179"/>
      <c r="B302" s="179"/>
      <c r="C302" s="179"/>
      <c r="D302" s="179"/>
      <c r="E302" s="179"/>
      <c r="F302" s="179"/>
      <c r="G302" s="194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</row>
    <row r="303">
      <c r="A303" s="179"/>
      <c r="B303" s="179"/>
      <c r="C303" s="179"/>
      <c r="D303" s="179"/>
      <c r="E303" s="179"/>
      <c r="F303" s="179"/>
      <c r="G303" s="194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</row>
    <row r="304">
      <c r="A304" s="179"/>
      <c r="B304" s="179"/>
      <c r="C304" s="179"/>
      <c r="D304" s="179"/>
      <c r="E304" s="179"/>
      <c r="F304" s="179"/>
      <c r="G304" s="194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</row>
    <row r="305">
      <c r="A305" s="179"/>
      <c r="B305" s="179"/>
      <c r="C305" s="179"/>
      <c r="D305" s="179"/>
      <c r="E305" s="179"/>
      <c r="F305" s="179"/>
      <c r="G305" s="194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</row>
    <row r="306">
      <c r="A306" s="179"/>
      <c r="B306" s="179"/>
      <c r="C306" s="179"/>
      <c r="D306" s="179"/>
      <c r="E306" s="179"/>
      <c r="F306" s="179"/>
      <c r="G306" s="194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</row>
    <row r="307">
      <c r="A307" s="179"/>
      <c r="B307" s="179"/>
      <c r="C307" s="179"/>
      <c r="D307" s="179"/>
      <c r="E307" s="179"/>
      <c r="F307" s="179"/>
      <c r="G307" s="194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</row>
    <row r="308">
      <c r="A308" s="179"/>
      <c r="B308" s="179"/>
      <c r="C308" s="179"/>
      <c r="D308" s="179"/>
      <c r="E308" s="179"/>
      <c r="F308" s="179"/>
      <c r="G308" s="194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</row>
    <row r="309">
      <c r="A309" s="179"/>
      <c r="B309" s="179"/>
      <c r="C309" s="179"/>
      <c r="D309" s="179"/>
      <c r="E309" s="179"/>
      <c r="F309" s="179"/>
      <c r="G309" s="194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</row>
    <row r="310">
      <c r="A310" s="179"/>
      <c r="B310" s="179"/>
      <c r="C310" s="179"/>
      <c r="D310" s="179"/>
      <c r="E310" s="179"/>
      <c r="F310" s="179"/>
      <c r="G310" s="194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</row>
    <row r="311">
      <c r="A311" s="179"/>
      <c r="B311" s="179"/>
      <c r="C311" s="179"/>
      <c r="D311" s="179"/>
      <c r="E311" s="179"/>
      <c r="F311" s="179"/>
      <c r="G311" s="194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</row>
    <row r="312">
      <c r="A312" s="179"/>
      <c r="B312" s="179"/>
      <c r="C312" s="179"/>
      <c r="D312" s="179"/>
      <c r="E312" s="179"/>
      <c r="F312" s="179"/>
      <c r="G312" s="194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</row>
    <row r="313">
      <c r="A313" s="179"/>
      <c r="B313" s="179"/>
      <c r="C313" s="179"/>
      <c r="D313" s="179"/>
      <c r="E313" s="179"/>
      <c r="F313" s="179"/>
      <c r="G313" s="194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</row>
    <row r="314">
      <c r="A314" s="179"/>
      <c r="B314" s="179"/>
      <c r="C314" s="179"/>
      <c r="D314" s="179"/>
      <c r="E314" s="179"/>
      <c r="F314" s="179"/>
      <c r="G314" s="194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</row>
    <row r="315">
      <c r="A315" s="179"/>
      <c r="B315" s="179"/>
      <c r="C315" s="179"/>
      <c r="D315" s="179"/>
      <c r="E315" s="179"/>
      <c r="F315" s="179"/>
      <c r="G315" s="194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</row>
    <row r="316">
      <c r="A316" s="179"/>
      <c r="B316" s="179"/>
      <c r="C316" s="179"/>
      <c r="D316" s="179"/>
      <c r="E316" s="179"/>
      <c r="F316" s="179"/>
      <c r="G316" s="194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</row>
    <row r="317">
      <c r="A317" s="179"/>
      <c r="B317" s="179"/>
      <c r="C317" s="179"/>
      <c r="D317" s="179"/>
      <c r="E317" s="179"/>
      <c r="F317" s="179"/>
      <c r="G317" s="194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</row>
    <row r="318">
      <c r="A318" s="179"/>
      <c r="B318" s="179"/>
      <c r="C318" s="179"/>
      <c r="D318" s="179"/>
      <c r="E318" s="179"/>
      <c r="F318" s="179"/>
      <c r="G318" s="194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</row>
    <row r="319">
      <c r="A319" s="179"/>
      <c r="B319" s="179"/>
      <c r="C319" s="179"/>
      <c r="D319" s="179"/>
      <c r="E319" s="179"/>
      <c r="F319" s="179"/>
      <c r="G319" s="194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</row>
    <row r="320">
      <c r="A320" s="179"/>
      <c r="B320" s="179"/>
      <c r="C320" s="179"/>
      <c r="D320" s="179"/>
      <c r="E320" s="179"/>
      <c r="F320" s="179"/>
      <c r="G320" s="194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</row>
    <row r="321">
      <c r="A321" s="179"/>
      <c r="B321" s="179"/>
      <c r="C321" s="179"/>
      <c r="D321" s="179"/>
      <c r="E321" s="179"/>
      <c r="F321" s="179"/>
      <c r="G321" s="194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</row>
    <row r="322">
      <c r="A322" s="179"/>
      <c r="B322" s="179"/>
      <c r="C322" s="179"/>
      <c r="D322" s="179"/>
      <c r="E322" s="179"/>
      <c r="F322" s="179"/>
      <c r="G322" s="194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</row>
    <row r="323">
      <c r="A323" s="179"/>
      <c r="B323" s="179"/>
      <c r="C323" s="179"/>
      <c r="D323" s="179"/>
      <c r="E323" s="179"/>
      <c r="F323" s="179"/>
      <c r="G323" s="194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</row>
    <row r="324">
      <c r="A324" s="179"/>
      <c r="B324" s="179"/>
      <c r="C324" s="179"/>
      <c r="D324" s="179"/>
      <c r="E324" s="179"/>
      <c r="F324" s="179"/>
      <c r="G324" s="194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</row>
    <row r="325">
      <c r="A325" s="179"/>
      <c r="B325" s="179"/>
      <c r="C325" s="179"/>
      <c r="D325" s="179"/>
      <c r="E325" s="179"/>
      <c r="F325" s="179"/>
      <c r="G325" s="194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</row>
    <row r="326">
      <c r="A326" s="179"/>
      <c r="B326" s="179"/>
      <c r="C326" s="179"/>
      <c r="D326" s="179"/>
      <c r="E326" s="179"/>
      <c r="F326" s="179"/>
      <c r="G326" s="194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</row>
    <row r="327">
      <c r="A327" s="179"/>
      <c r="B327" s="179"/>
      <c r="C327" s="179"/>
      <c r="D327" s="179"/>
      <c r="E327" s="179"/>
      <c r="F327" s="179"/>
      <c r="G327" s="194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</row>
    <row r="328">
      <c r="A328" s="179"/>
      <c r="B328" s="179"/>
      <c r="C328" s="179"/>
      <c r="D328" s="179"/>
      <c r="E328" s="179"/>
      <c r="F328" s="179"/>
      <c r="G328" s="194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</row>
    <row r="329">
      <c r="A329" s="179"/>
      <c r="B329" s="179"/>
      <c r="C329" s="179"/>
      <c r="D329" s="179"/>
      <c r="E329" s="179"/>
      <c r="F329" s="179"/>
      <c r="G329" s="194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</row>
    <row r="330">
      <c r="A330" s="179"/>
      <c r="B330" s="179"/>
      <c r="C330" s="179"/>
      <c r="D330" s="179"/>
      <c r="E330" s="179"/>
      <c r="F330" s="179"/>
      <c r="G330" s="194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</row>
    <row r="331">
      <c r="A331" s="179"/>
      <c r="B331" s="179"/>
      <c r="C331" s="179"/>
      <c r="D331" s="179"/>
      <c r="E331" s="179"/>
      <c r="F331" s="179"/>
      <c r="G331" s="194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</row>
    <row r="332">
      <c r="A332" s="179"/>
      <c r="B332" s="179"/>
      <c r="C332" s="179"/>
      <c r="D332" s="179"/>
      <c r="E332" s="179"/>
      <c r="F332" s="179"/>
      <c r="G332" s="194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</row>
    <row r="333">
      <c r="A333" s="179"/>
      <c r="B333" s="179"/>
      <c r="C333" s="179"/>
      <c r="D333" s="179"/>
      <c r="E333" s="179"/>
      <c r="F333" s="179"/>
      <c r="G333" s="194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</row>
    <row r="334">
      <c r="A334" s="179"/>
      <c r="B334" s="179"/>
      <c r="C334" s="179"/>
      <c r="D334" s="179"/>
      <c r="E334" s="179"/>
      <c r="F334" s="179"/>
      <c r="G334" s="194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</row>
    <row r="335">
      <c r="A335" s="179"/>
      <c r="B335" s="179"/>
      <c r="C335" s="179"/>
      <c r="D335" s="179"/>
      <c r="E335" s="179"/>
      <c r="F335" s="179"/>
      <c r="G335" s="194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</row>
    <row r="336">
      <c r="A336" s="179"/>
      <c r="B336" s="179"/>
      <c r="C336" s="179"/>
      <c r="D336" s="179"/>
      <c r="E336" s="179"/>
      <c r="F336" s="179"/>
      <c r="G336" s="194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</row>
    <row r="337">
      <c r="A337" s="179"/>
      <c r="B337" s="179"/>
      <c r="C337" s="179"/>
      <c r="D337" s="179"/>
      <c r="E337" s="179"/>
      <c r="F337" s="179"/>
      <c r="G337" s="194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</row>
    <row r="338">
      <c r="A338" s="179"/>
      <c r="B338" s="179"/>
      <c r="C338" s="179"/>
      <c r="D338" s="179"/>
      <c r="E338" s="179"/>
      <c r="F338" s="179"/>
      <c r="G338" s="194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</row>
    <row r="339">
      <c r="A339" s="179"/>
      <c r="B339" s="179"/>
      <c r="C339" s="179"/>
      <c r="D339" s="179"/>
      <c r="E339" s="179"/>
      <c r="F339" s="179"/>
      <c r="G339" s="194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</row>
    <row r="340">
      <c r="A340" s="179"/>
      <c r="B340" s="179"/>
      <c r="C340" s="179"/>
      <c r="D340" s="179"/>
      <c r="E340" s="179"/>
      <c r="F340" s="179"/>
      <c r="G340" s="194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</row>
    <row r="341">
      <c r="A341" s="179"/>
      <c r="B341" s="179"/>
      <c r="C341" s="179"/>
      <c r="D341" s="179"/>
      <c r="E341" s="179"/>
      <c r="F341" s="179"/>
      <c r="G341" s="194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</row>
    <row r="342">
      <c r="A342" s="179"/>
      <c r="B342" s="179"/>
      <c r="C342" s="179"/>
      <c r="D342" s="179"/>
      <c r="E342" s="179"/>
      <c r="F342" s="179"/>
      <c r="G342" s="194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</row>
    <row r="343">
      <c r="A343" s="179"/>
      <c r="B343" s="179"/>
      <c r="C343" s="179"/>
      <c r="D343" s="179"/>
      <c r="E343" s="179"/>
      <c r="F343" s="179"/>
      <c r="G343" s="194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</row>
    <row r="344">
      <c r="A344" s="179"/>
      <c r="B344" s="179"/>
      <c r="C344" s="179"/>
      <c r="D344" s="179"/>
      <c r="E344" s="179"/>
      <c r="F344" s="179"/>
      <c r="G344" s="194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</row>
    <row r="345">
      <c r="A345" s="179"/>
      <c r="B345" s="179"/>
      <c r="C345" s="179"/>
      <c r="D345" s="179"/>
      <c r="E345" s="179"/>
      <c r="F345" s="179"/>
      <c r="G345" s="194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</row>
    <row r="346">
      <c r="A346" s="179"/>
      <c r="B346" s="179"/>
      <c r="C346" s="179"/>
      <c r="D346" s="179"/>
      <c r="E346" s="179"/>
      <c r="F346" s="179"/>
      <c r="G346" s="194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</row>
    <row r="347">
      <c r="A347" s="179"/>
      <c r="B347" s="179"/>
      <c r="C347" s="179"/>
      <c r="D347" s="179"/>
      <c r="E347" s="179"/>
      <c r="F347" s="179"/>
      <c r="G347" s="194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</row>
    <row r="348">
      <c r="A348" s="179"/>
      <c r="B348" s="179"/>
      <c r="C348" s="179"/>
      <c r="D348" s="179"/>
      <c r="E348" s="179"/>
      <c r="F348" s="179"/>
      <c r="G348" s="194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</row>
    <row r="349">
      <c r="A349" s="179"/>
      <c r="B349" s="179"/>
      <c r="C349" s="179"/>
      <c r="D349" s="179"/>
      <c r="E349" s="179"/>
      <c r="F349" s="179"/>
      <c r="G349" s="194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</row>
    <row r="350">
      <c r="A350" s="179"/>
      <c r="B350" s="179"/>
      <c r="C350" s="179"/>
      <c r="D350" s="179"/>
      <c r="E350" s="179"/>
      <c r="F350" s="179"/>
      <c r="G350" s="194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</row>
    <row r="351">
      <c r="A351" s="179"/>
      <c r="B351" s="179"/>
      <c r="C351" s="179"/>
      <c r="D351" s="179"/>
      <c r="E351" s="179"/>
      <c r="F351" s="179"/>
      <c r="G351" s="194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</row>
    <row r="352">
      <c r="A352" s="179"/>
      <c r="B352" s="179"/>
      <c r="C352" s="179"/>
      <c r="D352" s="179"/>
      <c r="E352" s="179"/>
      <c r="F352" s="179"/>
      <c r="G352" s="194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</row>
    <row r="353">
      <c r="A353" s="179"/>
      <c r="B353" s="179"/>
      <c r="C353" s="179"/>
      <c r="D353" s="179"/>
      <c r="E353" s="179"/>
      <c r="F353" s="179"/>
      <c r="G353" s="194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</row>
    <row r="354">
      <c r="A354" s="179"/>
      <c r="B354" s="179"/>
      <c r="C354" s="179"/>
      <c r="D354" s="179"/>
      <c r="E354" s="179"/>
      <c r="F354" s="179"/>
      <c r="G354" s="194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</row>
    <row r="355">
      <c r="A355" s="179"/>
      <c r="B355" s="179"/>
      <c r="C355" s="179"/>
      <c r="D355" s="179"/>
      <c r="E355" s="179"/>
      <c r="F355" s="179"/>
      <c r="G355" s="194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</row>
    <row r="356">
      <c r="A356" s="179"/>
      <c r="B356" s="179"/>
      <c r="C356" s="179"/>
      <c r="D356" s="179"/>
      <c r="E356" s="179"/>
      <c r="F356" s="179"/>
      <c r="G356" s="194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</row>
    <row r="357">
      <c r="A357" s="179"/>
      <c r="B357" s="179"/>
      <c r="C357" s="179"/>
      <c r="D357" s="179"/>
      <c r="E357" s="179"/>
      <c r="F357" s="179"/>
      <c r="G357" s="194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</row>
    <row r="358">
      <c r="A358" s="179"/>
      <c r="B358" s="179"/>
      <c r="C358" s="179"/>
      <c r="D358" s="179"/>
      <c r="E358" s="179"/>
      <c r="F358" s="179"/>
      <c r="G358" s="194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</row>
    <row r="359">
      <c r="A359" s="179"/>
      <c r="B359" s="179"/>
      <c r="C359" s="179"/>
      <c r="D359" s="179"/>
      <c r="E359" s="179"/>
      <c r="F359" s="179"/>
      <c r="G359" s="194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</row>
    <row r="360">
      <c r="A360" s="179"/>
      <c r="B360" s="179"/>
      <c r="C360" s="179"/>
      <c r="D360" s="179"/>
      <c r="E360" s="179"/>
      <c r="F360" s="179"/>
      <c r="G360" s="194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</row>
    <row r="361">
      <c r="A361" s="179"/>
      <c r="B361" s="179"/>
      <c r="C361" s="179"/>
      <c r="D361" s="179"/>
      <c r="E361" s="179"/>
      <c r="F361" s="179"/>
      <c r="G361" s="194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</row>
    <row r="362">
      <c r="A362" s="179"/>
      <c r="B362" s="179"/>
      <c r="C362" s="179"/>
      <c r="D362" s="179"/>
      <c r="E362" s="179"/>
      <c r="F362" s="179"/>
      <c r="G362" s="194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</row>
    <row r="363">
      <c r="A363" s="179"/>
      <c r="B363" s="179"/>
      <c r="C363" s="179"/>
      <c r="D363" s="179"/>
      <c r="E363" s="179"/>
      <c r="F363" s="179"/>
      <c r="G363" s="194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</row>
    <row r="364">
      <c r="A364" s="179"/>
      <c r="B364" s="179"/>
      <c r="C364" s="179"/>
      <c r="D364" s="179"/>
      <c r="E364" s="179"/>
      <c r="F364" s="179"/>
      <c r="G364" s="194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</row>
    <row r="365">
      <c r="A365" s="179"/>
      <c r="B365" s="179"/>
      <c r="C365" s="179"/>
      <c r="D365" s="179"/>
      <c r="E365" s="179"/>
      <c r="F365" s="179"/>
      <c r="G365" s="194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</row>
    <row r="366">
      <c r="A366" s="179"/>
      <c r="B366" s="179"/>
      <c r="C366" s="179"/>
      <c r="D366" s="179"/>
      <c r="E366" s="179"/>
      <c r="F366" s="179"/>
      <c r="G366" s="194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</row>
    <row r="367">
      <c r="A367" s="179"/>
      <c r="B367" s="179"/>
      <c r="C367" s="179"/>
      <c r="D367" s="179"/>
      <c r="E367" s="179"/>
      <c r="F367" s="179"/>
      <c r="G367" s="194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</row>
    <row r="368">
      <c r="A368" s="179"/>
      <c r="B368" s="179"/>
      <c r="C368" s="179"/>
      <c r="D368" s="179"/>
      <c r="E368" s="179"/>
      <c r="F368" s="179"/>
      <c r="G368" s="194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</row>
    <row r="369">
      <c r="A369" s="179"/>
      <c r="B369" s="179"/>
      <c r="C369" s="179"/>
      <c r="D369" s="179"/>
      <c r="E369" s="179"/>
      <c r="F369" s="179"/>
      <c r="G369" s="194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</row>
    <row r="370">
      <c r="A370" s="179"/>
      <c r="B370" s="179"/>
      <c r="C370" s="179"/>
      <c r="D370" s="179"/>
      <c r="E370" s="179"/>
      <c r="F370" s="179"/>
      <c r="G370" s="194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</row>
    <row r="371">
      <c r="A371" s="179"/>
      <c r="B371" s="179"/>
      <c r="C371" s="179"/>
      <c r="D371" s="179"/>
      <c r="E371" s="179"/>
      <c r="F371" s="179"/>
      <c r="G371" s="194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</row>
    <row r="372">
      <c r="A372" s="179"/>
      <c r="B372" s="179"/>
      <c r="C372" s="179"/>
      <c r="D372" s="179"/>
      <c r="E372" s="179"/>
      <c r="F372" s="179"/>
      <c r="G372" s="194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</row>
    <row r="373">
      <c r="A373" s="179"/>
      <c r="B373" s="179"/>
      <c r="C373" s="179"/>
      <c r="D373" s="179"/>
      <c r="E373" s="179"/>
      <c r="F373" s="179"/>
      <c r="G373" s="194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</row>
    <row r="374">
      <c r="A374" s="179"/>
      <c r="B374" s="179"/>
      <c r="C374" s="179"/>
      <c r="D374" s="179"/>
      <c r="E374" s="179"/>
      <c r="F374" s="179"/>
      <c r="G374" s="194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</row>
    <row r="375">
      <c r="A375" s="179"/>
      <c r="B375" s="179"/>
      <c r="C375" s="179"/>
      <c r="D375" s="179"/>
      <c r="E375" s="179"/>
      <c r="F375" s="179"/>
      <c r="G375" s="194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</row>
    <row r="376">
      <c r="A376" s="179"/>
      <c r="B376" s="179"/>
      <c r="C376" s="179"/>
      <c r="D376" s="179"/>
      <c r="E376" s="179"/>
      <c r="F376" s="179"/>
      <c r="G376" s="194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</row>
    <row r="377">
      <c r="A377" s="179"/>
      <c r="B377" s="179"/>
      <c r="C377" s="179"/>
      <c r="D377" s="179"/>
      <c r="E377" s="179"/>
      <c r="F377" s="179"/>
      <c r="G377" s="194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</row>
    <row r="378">
      <c r="A378" s="179"/>
      <c r="B378" s="179"/>
      <c r="C378" s="179"/>
      <c r="D378" s="179"/>
      <c r="E378" s="179"/>
      <c r="F378" s="179"/>
      <c r="G378" s="194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</row>
    <row r="379">
      <c r="A379" s="179"/>
      <c r="B379" s="179"/>
      <c r="C379" s="179"/>
      <c r="D379" s="179"/>
      <c r="E379" s="179"/>
      <c r="F379" s="179"/>
      <c r="G379" s="194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</row>
    <row r="380">
      <c r="A380" s="179"/>
      <c r="B380" s="179"/>
      <c r="C380" s="179"/>
      <c r="D380" s="179"/>
      <c r="E380" s="179"/>
      <c r="F380" s="179"/>
      <c r="G380" s="194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</row>
    <row r="381">
      <c r="A381" s="179"/>
      <c r="B381" s="179"/>
      <c r="C381" s="179"/>
      <c r="D381" s="179"/>
      <c r="E381" s="179"/>
      <c r="F381" s="179"/>
      <c r="G381" s="194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</row>
    <row r="382">
      <c r="A382" s="179"/>
      <c r="B382" s="179"/>
      <c r="C382" s="179"/>
      <c r="D382" s="179"/>
      <c r="E382" s="179"/>
      <c r="F382" s="179"/>
      <c r="G382" s="194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</row>
    <row r="383">
      <c r="A383" s="179"/>
      <c r="B383" s="179"/>
      <c r="C383" s="179"/>
      <c r="D383" s="179"/>
      <c r="E383" s="179"/>
      <c r="F383" s="179"/>
      <c r="G383" s="194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</row>
    <row r="384">
      <c r="A384" s="179"/>
      <c r="B384" s="179"/>
      <c r="C384" s="179"/>
      <c r="D384" s="179"/>
      <c r="E384" s="179"/>
      <c r="F384" s="179"/>
      <c r="G384" s="194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</row>
    <row r="385">
      <c r="A385" s="179"/>
      <c r="B385" s="179"/>
      <c r="C385" s="179"/>
      <c r="D385" s="179"/>
      <c r="E385" s="179"/>
      <c r="F385" s="179"/>
      <c r="G385" s="194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</row>
    <row r="386">
      <c r="A386" s="179"/>
      <c r="B386" s="179"/>
      <c r="C386" s="179"/>
      <c r="D386" s="179"/>
      <c r="E386" s="179"/>
      <c r="F386" s="179"/>
      <c r="G386" s="194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</row>
    <row r="387">
      <c r="A387" s="179"/>
      <c r="B387" s="179"/>
      <c r="C387" s="179"/>
      <c r="D387" s="179"/>
      <c r="E387" s="179"/>
      <c r="F387" s="179"/>
      <c r="G387" s="194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</row>
    <row r="388">
      <c r="A388" s="179"/>
      <c r="B388" s="179"/>
      <c r="C388" s="179"/>
      <c r="D388" s="179"/>
      <c r="E388" s="179"/>
      <c r="F388" s="179"/>
      <c r="G388" s="194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</row>
    <row r="389">
      <c r="A389" s="179"/>
      <c r="B389" s="179"/>
      <c r="C389" s="179"/>
      <c r="D389" s="179"/>
      <c r="E389" s="179"/>
      <c r="F389" s="179"/>
      <c r="G389" s="194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</row>
    <row r="390">
      <c r="A390" s="179"/>
      <c r="B390" s="179"/>
      <c r="C390" s="179"/>
      <c r="D390" s="179"/>
      <c r="E390" s="179"/>
      <c r="F390" s="179"/>
      <c r="G390" s="194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</row>
    <row r="391">
      <c r="A391" s="179"/>
      <c r="B391" s="179"/>
      <c r="C391" s="179"/>
      <c r="D391" s="179"/>
      <c r="E391" s="179"/>
      <c r="F391" s="179"/>
      <c r="G391" s="194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</row>
    <row r="392">
      <c r="A392" s="179"/>
      <c r="B392" s="179"/>
      <c r="C392" s="179"/>
      <c r="D392" s="179"/>
      <c r="E392" s="179"/>
      <c r="F392" s="179"/>
      <c r="G392" s="194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</row>
    <row r="393">
      <c r="A393" s="179"/>
      <c r="B393" s="179"/>
      <c r="C393" s="179"/>
      <c r="D393" s="179"/>
      <c r="E393" s="179"/>
      <c r="F393" s="179"/>
      <c r="G393" s="194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</row>
    <row r="394">
      <c r="A394" s="179"/>
      <c r="B394" s="179"/>
      <c r="C394" s="179"/>
      <c r="D394" s="179"/>
      <c r="E394" s="179"/>
      <c r="F394" s="179"/>
      <c r="G394" s="194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</row>
    <row r="395">
      <c r="A395" s="179"/>
      <c r="B395" s="179"/>
      <c r="C395" s="179"/>
      <c r="D395" s="179"/>
      <c r="E395" s="179"/>
      <c r="F395" s="179"/>
      <c r="G395" s="194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</row>
    <row r="396">
      <c r="A396" s="179"/>
      <c r="B396" s="179"/>
      <c r="C396" s="179"/>
      <c r="D396" s="179"/>
      <c r="E396" s="179"/>
      <c r="F396" s="179"/>
      <c r="G396" s="194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</row>
    <row r="397">
      <c r="A397" s="179"/>
      <c r="B397" s="179"/>
      <c r="C397" s="179"/>
      <c r="D397" s="179"/>
      <c r="E397" s="179"/>
      <c r="F397" s="179"/>
      <c r="G397" s="194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</row>
    <row r="398">
      <c r="A398" s="179"/>
      <c r="B398" s="179"/>
      <c r="C398" s="179"/>
      <c r="D398" s="179"/>
      <c r="E398" s="179"/>
      <c r="F398" s="179"/>
      <c r="G398" s="194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</row>
    <row r="399">
      <c r="A399" s="179"/>
      <c r="B399" s="179"/>
      <c r="C399" s="179"/>
      <c r="D399" s="179"/>
      <c r="E399" s="179"/>
      <c r="F399" s="179"/>
      <c r="G399" s="194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</row>
    <row r="400">
      <c r="A400" s="179"/>
      <c r="B400" s="179"/>
      <c r="C400" s="179"/>
      <c r="D400" s="179"/>
      <c r="E400" s="179"/>
      <c r="F400" s="179"/>
      <c r="G400" s="194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</row>
    <row r="401">
      <c r="A401" s="179"/>
      <c r="B401" s="179"/>
      <c r="C401" s="179"/>
      <c r="D401" s="179"/>
      <c r="E401" s="179"/>
      <c r="F401" s="179"/>
      <c r="G401" s="194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</row>
    <row r="402">
      <c r="A402" s="179"/>
      <c r="B402" s="179"/>
      <c r="C402" s="179"/>
      <c r="D402" s="179"/>
      <c r="E402" s="179"/>
      <c r="F402" s="179"/>
      <c r="G402" s="194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</row>
    <row r="403">
      <c r="A403" s="179"/>
      <c r="B403" s="179"/>
      <c r="C403" s="179"/>
      <c r="D403" s="179"/>
      <c r="E403" s="179"/>
      <c r="F403" s="179"/>
      <c r="G403" s="194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</row>
    <row r="404">
      <c r="A404" s="179"/>
      <c r="B404" s="179"/>
      <c r="C404" s="179"/>
      <c r="D404" s="179"/>
      <c r="E404" s="179"/>
      <c r="F404" s="179"/>
      <c r="G404" s="194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</row>
    <row r="405">
      <c r="A405" s="179"/>
      <c r="B405" s="179"/>
      <c r="C405" s="179"/>
      <c r="D405" s="179"/>
      <c r="E405" s="179"/>
      <c r="F405" s="179"/>
      <c r="G405" s="194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</row>
    <row r="406">
      <c r="A406" s="179"/>
      <c r="B406" s="179"/>
      <c r="C406" s="179"/>
      <c r="D406" s="179"/>
      <c r="E406" s="179"/>
      <c r="F406" s="179"/>
      <c r="G406" s="194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</row>
    <row r="407">
      <c r="A407" s="179"/>
      <c r="B407" s="179"/>
      <c r="C407" s="179"/>
      <c r="D407" s="179"/>
      <c r="E407" s="179"/>
      <c r="F407" s="179"/>
      <c r="G407" s="194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</row>
    <row r="408">
      <c r="A408" s="179"/>
      <c r="B408" s="179"/>
      <c r="C408" s="179"/>
      <c r="D408" s="179"/>
      <c r="E408" s="179"/>
      <c r="F408" s="179"/>
      <c r="G408" s="194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</row>
    <row r="409">
      <c r="A409" s="179"/>
      <c r="B409" s="179"/>
      <c r="C409" s="179"/>
      <c r="D409" s="179"/>
      <c r="E409" s="179"/>
      <c r="F409" s="179"/>
      <c r="G409" s="194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</row>
    <row r="410">
      <c r="A410" s="179"/>
      <c r="B410" s="179"/>
      <c r="C410" s="179"/>
      <c r="D410" s="179"/>
      <c r="E410" s="179"/>
      <c r="F410" s="179"/>
      <c r="G410" s="194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</row>
    <row r="411">
      <c r="A411" s="179"/>
      <c r="B411" s="179"/>
      <c r="C411" s="179"/>
      <c r="D411" s="179"/>
      <c r="E411" s="179"/>
      <c r="F411" s="179"/>
      <c r="G411" s="194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</row>
    <row r="412">
      <c r="A412" s="179"/>
      <c r="B412" s="179"/>
      <c r="C412" s="179"/>
      <c r="D412" s="179"/>
      <c r="E412" s="179"/>
      <c r="F412" s="179"/>
      <c r="G412" s="194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</row>
    <row r="413">
      <c r="A413" s="179"/>
      <c r="B413" s="179"/>
      <c r="C413" s="179"/>
      <c r="D413" s="179"/>
      <c r="E413" s="179"/>
      <c r="F413" s="179"/>
      <c r="G413" s="194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</row>
    <row r="414">
      <c r="A414" s="179"/>
      <c r="B414" s="179"/>
      <c r="C414" s="179"/>
      <c r="D414" s="179"/>
      <c r="E414" s="179"/>
      <c r="F414" s="179"/>
      <c r="G414" s="194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</row>
    <row r="415">
      <c r="A415" s="179"/>
      <c r="B415" s="179"/>
      <c r="C415" s="179"/>
      <c r="D415" s="179"/>
      <c r="E415" s="179"/>
      <c r="F415" s="179"/>
      <c r="G415" s="194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</row>
    <row r="416">
      <c r="A416" s="179"/>
      <c r="B416" s="179"/>
      <c r="C416" s="179"/>
      <c r="D416" s="179"/>
      <c r="E416" s="179"/>
      <c r="F416" s="179"/>
      <c r="G416" s="194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</row>
    <row r="417">
      <c r="A417" s="179"/>
      <c r="B417" s="179"/>
      <c r="C417" s="179"/>
      <c r="D417" s="179"/>
      <c r="E417" s="179"/>
      <c r="F417" s="179"/>
      <c r="G417" s="194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</row>
    <row r="418">
      <c r="A418" s="179"/>
      <c r="B418" s="179"/>
      <c r="C418" s="179"/>
      <c r="D418" s="179"/>
      <c r="E418" s="179"/>
      <c r="F418" s="179"/>
      <c r="G418" s="194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</row>
    <row r="419">
      <c r="A419" s="179"/>
      <c r="B419" s="179"/>
      <c r="C419" s="179"/>
      <c r="D419" s="179"/>
      <c r="E419" s="179"/>
      <c r="F419" s="179"/>
      <c r="G419" s="194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</row>
    <row r="420">
      <c r="A420" s="179"/>
      <c r="B420" s="179"/>
      <c r="C420" s="179"/>
      <c r="D420" s="179"/>
      <c r="E420" s="179"/>
      <c r="F420" s="179"/>
      <c r="G420" s="194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</row>
    <row r="421">
      <c r="A421" s="179"/>
      <c r="B421" s="179"/>
      <c r="C421" s="179"/>
      <c r="D421" s="179"/>
      <c r="E421" s="179"/>
      <c r="F421" s="179"/>
      <c r="G421" s="194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</row>
    <row r="422">
      <c r="A422" s="179"/>
      <c r="B422" s="179"/>
      <c r="C422" s="179"/>
      <c r="D422" s="179"/>
      <c r="E422" s="179"/>
      <c r="F422" s="179"/>
      <c r="G422" s="194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</row>
    <row r="423">
      <c r="A423" s="179"/>
      <c r="B423" s="179"/>
      <c r="C423" s="179"/>
      <c r="D423" s="179"/>
      <c r="E423" s="179"/>
      <c r="F423" s="179"/>
      <c r="G423" s="194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</row>
    <row r="424">
      <c r="A424" s="179"/>
      <c r="B424" s="179"/>
      <c r="C424" s="179"/>
      <c r="D424" s="179"/>
      <c r="E424" s="179"/>
      <c r="F424" s="179"/>
      <c r="G424" s="194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</row>
    <row r="425">
      <c r="A425" s="179"/>
      <c r="B425" s="179"/>
      <c r="C425" s="179"/>
      <c r="D425" s="179"/>
      <c r="E425" s="179"/>
      <c r="F425" s="179"/>
      <c r="G425" s="194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</row>
    <row r="426">
      <c r="A426" s="179"/>
      <c r="B426" s="179"/>
      <c r="C426" s="179"/>
      <c r="D426" s="179"/>
      <c r="E426" s="179"/>
      <c r="F426" s="179"/>
      <c r="G426" s="194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</row>
    <row r="427">
      <c r="A427" s="179"/>
      <c r="B427" s="179"/>
      <c r="C427" s="179"/>
      <c r="D427" s="179"/>
      <c r="E427" s="179"/>
      <c r="F427" s="179"/>
      <c r="G427" s="194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</row>
    <row r="428">
      <c r="A428" s="179"/>
      <c r="B428" s="179"/>
      <c r="C428" s="179"/>
      <c r="D428" s="179"/>
      <c r="E428" s="179"/>
      <c r="F428" s="179"/>
      <c r="G428" s="194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</row>
    <row r="429">
      <c r="A429" s="179"/>
      <c r="B429" s="179"/>
      <c r="C429" s="179"/>
      <c r="D429" s="179"/>
      <c r="E429" s="179"/>
      <c r="F429" s="179"/>
      <c r="G429" s="194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</row>
    <row r="430">
      <c r="A430" s="179"/>
      <c r="B430" s="179"/>
      <c r="C430" s="179"/>
      <c r="D430" s="179"/>
      <c r="E430" s="179"/>
      <c r="F430" s="179"/>
      <c r="G430" s="194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</row>
    <row r="431">
      <c r="A431" s="179"/>
      <c r="B431" s="179"/>
      <c r="C431" s="179"/>
      <c r="D431" s="179"/>
      <c r="E431" s="179"/>
      <c r="F431" s="179"/>
      <c r="G431" s="194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</row>
    <row r="432">
      <c r="A432" s="179"/>
      <c r="B432" s="179"/>
      <c r="C432" s="179"/>
      <c r="D432" s="179"/>
      <c r="E432" s="179"/>
      <c r="F432" s="179"/>
      <c r="G432" s="194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</row>
    <row r="433">
      <c r="A433" s="179"/>
      <c r="B433" s="179"/>
      <c r="C433" s="179"/>
      <c r="D433" s="179"/>
      <c r="E433" s="179"/>
      <c r="F433" s="179"/>
      <c r="G433" s="194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</row>
    <row r="434">
      <c r="A434" s="179"/>
      <c r="B434" s="179"/>
      <c r="C434" s="179"/>
      <c r="D434" s="179"/>
      <c r="E434" s="179"/>
      <c r="F434" s="179"/>
      <c r="G434" s="194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</row>
    <row r="435">
      <c r="A435" s="179"/>
      <c r="B435" s="179"/>
      <c r="C435" s="179"/>
      <c r="D435" s="179"/>
      <c r="E435" s="179"/>
      <c r="F435" s="179"/>
      <c r="G435" s="194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</row>
    <row r="436">
      <c r="A436" s="179"/>
      <c r="B436" s="179"/>
      <c r="C436" s="179"/>
      <c r="D436" s="179"/>
      <c r="E436" s="179"/>
      <c r="F436" s="179"/>
      <c r="G436" s="194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</row>
    <row r="437">
      <c r="A437" s="179"/>
      <c r="B437" s="179"/>
      <c r="C437" s="179"/>
      <c r="D437" s="179"/>
      <c r="E437" s="179"/>
      <c r="F437" s="179"/>
      <c r="G437" s="194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</row>
    <row r="438">
      <c r="A438" s="179"/>
      <c r="B438" s="179"/>
      <c r="C438" s="179"/>
      <c r="D438" s="179"/>
      <c r="E438" s="179"/>
      <c r="F438" s="179"/>
      <c r="G438" s="194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</row>
    <row r="439">
      <c r="A439" s="179"/>
      <c r="B439" s="179"/>
      <c r="C439" s="179"/>
      <c r="D439" s="179"/>
      <c r="E439" s="179"/>
      <c r="F439" s="179"/>
      <c r="G439" s="194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</row>
    <row r="440">
      <c r="A440" s="179"/>
      <c r="B440" s="179"/>
      <c r="C440" s="179"/>
      <c r="D440" s="179"/>
      <c r="E440" s="179"/>
      <c r="F440" s="179"/>
      <c r="G440" s="194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</row>
    <row r="441">
      <c r="A441" s="179"/>
      <c r="B441" s="179"/>
      <c r="C441" s="179"/>
      <c r="D441" s="179"/>
      <c r="E441" s="179"/>
      <c r="F441" s="179"/>
      <c r="G441" s="194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</row>
    <row r="442">
      <c r="A442" s="179"/>
      <c r="B442" s="179"/>
      <c r="C442" s="179"/>
      <c r="D442" s="179"/>
      <c r="E442" s="179"/>
      <c r="F442" s="179"/>
      <c r="G442" s="194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</row>
    <row r="443">
      <c r="A443" s="179"/>
      <c r="B443" s="179"/>
      <c r="C443" s="179"/>
      <c r="D443" s="179"/>
      <c r="E443" s="179"/>
      <c r="F443" s="179"/>
      <c r="G443" s="194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</row>
    <row r="444">
      <c r="A444" s="179"/>
      <c r="B444" s="179"/>
      <c r="C444" s="179"/>
      <c r="D444" s="179"/>
      <c r="E444" s="179"/>
      <c r="F444" s="179"/>
      <c r="G444" s="194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</row>
    <row r="445">
      <c r="A445" s="179"/>
      <c r="B445" s="179"/>
      <c r="C445" s="179"/>
      <c r="D445" s="179"/>
      <c r="E445" s="179"/>
      <c r="F445" s="179"/>
      <c r="G445" s="194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</row>
    <row r="446">
      <c r="A446" s="179"/>
      <c r="B446" s="179"/>
      <c r="C446" s="179"/>
      <c r="D446" s="179"/>
      <c r="E446" s="179"/>
      <c r="F446" s="179"/>
      <c r="G446" s="194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</row>
    <row r="447">
      <c r="A447" s="179"/>
      <c r="B447" s="179"/>
      <c r="C447" s="179"/>
      <c r="D447" s="179"/>
      <c r="E447" s="179"/>
      <c r="F447" s="179"/>
      <c r="G447" s="194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</row>
    <row r="448">
      <c r="A448" s="179"/>
      <c r="B448" s="179"/>
      <c r="C448" s="179"/>
      <c r="D448" s="179"/>
      <c r="E448" s="179"/>
      <c r="F448" s="179"/>
      <c r="G448" s="194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</row>
    <row r="449">
      <c r="A449" s="179"/>
      <c r="B449" s="179"/>
      <c r="C449" s="179"/>
      <c r="D449" s="179"/>
      <c r="E449" s="179"/>
      <c r="F449" s="179"/>
      <c r="G449" s="194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</row>
    <row r="450">
      <c r="A450" s="179"/>
      <c r="B450" s="179"/>
      <c r="C450" s="179"/>
      <c r="D450" s="179"/>
      <c r="E450" s="179"/>
      <c r="F450" s="179"/>
      <c r="G450" s="194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</row>
    <row r="451">
      <c r="A451" s="179"/>
      <c r="B451" s="179"/>
      <c r="C451" s="179"/>
      <c r="D451" s="179"/>
      <c r="E451" s="179"/>
      <c r="F451" s="179"/>
      <c r="G451" s="194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</row>
    <row r="452">
      <c r="A452" s="179"/>
      <c r="B452" s="179"/>
      <c r="C452" s="179"/>
      <c r="D452" s="179"/>
      <c r="E452" s="179"/>
      <c r="F452" s="179"/>
      <c r="G452" s="194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</row>
    <row r="453">
      <c r="A453" s="179"/>
      <c r="B453" s="179"/>
      <c r="C453" s="179"/>
      <c r="D453" s="179"/>
      <c r="E453" s="179"/>
      <c r="F453" s="179"/>
      <c r="G453" s="194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</row>
    <row r="454">
      <c r="A454" s="179"/>
      <c r="B454" s="179"/>
      <c r="C454" s="179"/>
      <c r="D454" s="179"/>
      <c r="E454" s="179"/>
      <c r="F454" s="179"/>
      <c r="G454" s="194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</row>
    <row r="455">
      <c r="A455" s="179"/>
      <c r="B455" s="179"/>
      <c r="C455" s="179"/>
      <c r="D455" s="179"/>
      <c r="E455" s="179"/>
      <c r="F455" s="179"/>
      <c r="G455" s="194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</row>
    <row r="456">
      <c r="A456" s="179"/>
      <c r="B456" s="179"/>
      <c r="C456" s="179"/>
      <c r="D456" s="179"/>
      <c r="E456" s="179"/>
      <c r="F456" s="179"/>
      <c r="G456" s="194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</row>
    <row r="457">
      <c r="A457" s="179"/>
      <c r="B457" s="179"/>
      <c r="C457" s="179"/>
      <c r="D457" s="179"/>
      <c r="E457" s="179"/>
      <c r="F457" s="179"/>
      <c r="G457" s="194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</row>
    <row r="458">
      <c r="A458" s="179"/>
      <c r="B458" s="179"/>
      <c r="C458" s="179"/>
      <c r="D458" s="179"/>
      <c r="E458" s="179"/>
      <c r="F458" s="179"/>
      <c r="G458" s="194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</row>
    <row r="459">
      <c r="A459" s="179"/>
      <c r="B459" s="179"/>
      <c r="C459" s="179"/>
      <c r="D459" s="179"/>
      <c r="E459" s="179"/>
      <c r="F459" s="179"/>
      <c r="G459" s="194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</row>
    <row r="460">
      <c r="A460" s="179"/>
      <c r="B460" s="179"/>
      <c r="C460" s="179"/>
      <c r="D460" s="179"/>
      <c r="E460" s="179"/>
      <c r="F460" s="179"/>
      <c r="G460" s="194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</row>
    <row r="461">
      <c r="A461" s="179"/>
      <c r="B461" s="179"/>
      <c r="C461" s="179"/>
      <c r="D461" s="179"/>
      <c r="E461" s="179"/>
      <c r="F461" s="179"/>
      <c r="G461" s="194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</row>
    <row r="462">
      <c r="A462" s="179"/>
      <c r="B462" s="179"/>
      <c r="C462" s="179"/>
      <c r="D462" s="179"/>
      <c r="E462" s="179"/>
      <c r="F462" s="179"/>
      <c r="G462" s="194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</row>
    <row r="463">
      <c r="A463" s="179"/>
      <c r="B463" s="179"/>
      <c r="C463" s="179"/>
      <c r="D463" s="179"/>
      <c r="E463" s="179"/>
      <c r="F463" s="179"/>
      <c r="G463" s="194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</row>
    <row r="464">
      <c r="A464" s="179"/>
      <c r="B464" s="179"/>
      <c r="C464" s="179"/>
      <c r="D464" s="179"/>
      <c r="E464" s="179"/>
      <c r="F464" s="179"/>
      <c r="G464" s="194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</row>
    <row r="465">
      <c r="A465" s="179"/>
      <c r="B465" s="179"/>
      <c r="C465" s="179"/>
      <c r="D465" s="179"/>
      <c r="E465" s="179"/>
      <c r="F465" s="179"/>
      <c r="G465" s="194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</row>
    <row r="466">
      <c r="A466" s="179"/>
      <c r="B466" s="179"/>
      <c r="C466" s="179"/>
      <c r="D466" s="179"/>
      <c r="E466" s="179"/>
      <c r="F466" s="179"/>
      <c r="G466" s="194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</row>
    <row r="467">
      <c r="A467" s="179"/>
      <c r="B467" s="179"/>
      <c r="C467" s="179"/>
      <c r="D467" s="179"/>
      <c r="E467" s="179"/>
      <c r="F467" s="179"/>
      <c r="G467" s="194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</row>
    <row r="468">
      <c r="A468" s="179"/>
      <c r="B468" s="179"/>
      <c r="C468" s="179"/>
      <c r="D468" s="179"/>
      <c r="E468" s="179"/>
      <c r="F468" s="179"/>
      <c r="G468" s="194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</row>
    <row r="469">
      <c r="A469" s="179"/>
      <c r="B469" s="179"/>
      <c r="C469" s="179"/>
      <c r="D469" s="179"/>
      <c r="E469" s="179"/>
      <c r="F469" s="179"/>
      <c r="G469" s="194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</row>
    <row r="470">
      <c r="A470" s="179"/>
      <c r="B470" s="179"/>
      <c r="C470" s="179"/>
      <c r="D470" s="179"/>
      <c r="E470" s="179"/>
      <c r="F470" s="179"/>
      <c r="G470" s="194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</row>
    <row r="471">
      <c r="A471" s="179"/>
      <c r="B471" s="179"/>
      <c r="C471" s="179"/>
      <c r="D471" s="179"/>
      <c r="E471" s="179"/>
      <c r="F471" s="179"/>
      <c r="G471" s="194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</row>
    <row r="472">
      <c r="A472" s="179"/>
      <c r="B472" s="179"/>
      <c r="C472" s="179"/>
      <c r="D472" s="179"/>
      <c r="E472" s="179"/>
      <c r="F472" s="179"/>
      <c r="G472" s="194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</row>
    <row r="473">
      <c r="A473" s="179"/>
      <c r="B473" s="179"/>
      <c r="C473" s="179"/>
      <c r="D473" s="179"/>
      <c r="E473" s="179"/>
      <c r="F473" s="179"/>
      <c r="G473" s="194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</row>
    <row r="474">
      <c r="A474" s="179"/>
      <c r="B474" s="179"/>
      <c r="C474" s="179"/>
      <c r="D474" s="179"/>
      <c r="E474" s="179"/>
      <c r="F474" s="179"/>
      <c r="G474" s="194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</row>
    <row r="475">
      <c r="A475" s="179"/>
      <c r="B475" s="179"/>
      <c r="C475" s="179"/>
      <c r="D475" s="179"/>
      <c r="E475" s="179"/>
      <c r="F475" s="179"/>
      <c r="G475" s="194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</row>
    <row r="476">
      <c r="A476" s="179"/>
      <c r="B476" s="179"/>
      <c r="C476" s="179"/>
      <c r="D476" s="179"/>
      <c r="E476" s="179"/>
      <c r="F476" s="179"/>
      <c r="G476" s="194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</row>
    <row r="477">
      <c r="A477" s="179"/>
      <c r="B477" s="179"/>
      <c r="C477" s="179"/>
      <c r="D477" s="179"/>
      <c r="E477" s="179"/>
      <c r="F477" s="179"/>
      <c r="G477" s="194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</row>
    <row r="478">
      <c r="A478" s="179"/>
      <c r="B478" s="179"/>
      <c r="C478" s="179"/>
      <c r="D478" s="179"/>
      <c r="E478" s="179"/>
      <c r="F478" s="179"/>
      <c r="G478" s="194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</row>
    <row r="479">
      <c r="A479" s="179"/>
      <c r="B479" s="179"/>
      <c r="C479" s="179"/>
      <c r="D479" s="179"/>
      <c r="E479" s="179"/>
      <c r="F479" s="179"/>
      <c r="G479" s="194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</row>
    <row r="480">
      <c r="A480" s="179"/>
      <c r="B480" s="179"/>
      <c r="C480" s="179"/>
      <c r="D480" s="179"/>
      <c r="E480" s="179"/>
      <c r="F480" s="179"/>
      <c r="G480" s="194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</row>
    <row r="481">
      <c r="A481" s="179"/>
      <c r="B481" s="179"/>
      <c r="C481" s="179"/>
      <c r="D481" s="179"/>
      <c r="E481" s="179"/>
      <c r="F481" s="179"/>
      <c r="G481" s="194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</row>
    <row r="482">
      <c r="A482" s="179"/>
      <c r="B482" s="179"/>
      <c r="C482" s="179"/>
      <c r="D482" s="179"/>
      <c r="E482" s="179"/>
      <c r="F482" s="179"/>
      <c r="G482" s="194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</row>
    <row r="483">
      <c r="A483" s="179"/>
      <c r="B483" s="179"/>
      <c r="C483" s="179"/>
      <c r="D483" s="179"/>
      <c r="E483" s="179"/>
      <c r="F483" s="179"/>
      <c r="G483" s="194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</row>
    <row r="484">
      <c r="A484" s="179"/>
      <c r="B484" s="179"/>
      <c r="C484" s="179"/>
      <c r="D484" s="179"/>
      <c r="E484" s="179"/>
      <c r="F484" s="179"/>
      <c r="G484" s="194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</row>
    <row r="485">
      <c r="A485" s="179"/>
      <c r="B485" s="179"/>
      <c r="C485" s="179"/>
      <c r="D485" s="179"/>
      <c r="E485" s="179"/>
      <c r="F485" s="179"/>
      <c r="G485" s="194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</row>
    <row r="486">
      <c r="A486" s="179"/>
      <c r="B486" s="179"/>
      <c r="C486" s="179"/>
      <c r="D486" s="179"/>
      <c r="E486" s="179"/>
      <c r="F486" s="179"/>
      <c r="G486" s="194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</row>
    <row r="487">
      <c r="A487" s="179"/>
      <c r="B487" s="179"/>
      <c r="C487" s="179"/>
      <c r="D487" s="179"/>
      <c r="E487" s="179"/>
      <c r="F487" s="179"/>
      <c r="G487" s="194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</row>
    <row r="488">
      <c r="A488" s="179"/>
      <c r="B488" s="179"/>
      <c r="C488" s="179"/>
      <c r="D488" s="179"/>
      <c r="E488" s="179"/>
      <c r="F488" s="179"/>
      <c r="G488" s="194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</row>
    <row r="489">
      <c r="A489" s="179"/>
      <c r="B489" s="179"/>
      <c r="C489" s="179"/>
      <c r="D489" s="179"/>
      <c r="E489" s="179"/>
      <c r="F489" s="179"/>
      <c r="G489" s="194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</row>
    <row r="490">
      <c r="A490" s="179"/>
      <c r="B490" s="179"/>
      <c r="C490" s="179"/>
      <c r="D490" s="179"/>
      <c r="E490" s="179"/>
      <c r="F490" s="179"/>
      <c r="G490" s="194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</row>
    <row r="491">
      <c r="A491" s="179"/>
      <c r="B491" s="179"/>
      <c r="C491" s="179"/>
      <c r="D491" s="179"/>
      <c r="E491" s="179"/>
      <c r="F491" s="179"/>
      <c r="G491" s="194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</row>
    <row r="492">
      <c r="A492" s="179"/>
      <c r="B492" s="179"/>
      <c r="C492" s="179"/>
      <c r="D492" s="179"/>
      <c r="E492" s="179"/>
      <c r="F492" s="179"/>
      <c r="G492" s="194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</row>
    <row r="493">
      <c r="A493" s="179"/>
      <c r="B493" s="179"/>
      <c r="C493" s="179"/>
      <c r="D493" s="179"/>
      <c r="E493" s="179"/>
      <c r="F493" s="179"/>
      <c r="G493" s="194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</row>
    <row r="494">
      <c r="A494" s="179"/>
      <c r="B494" s="179"/>
      <c r="C494" s="179"/>
      <c r="D494" s="179"/>
      <c r="E494" s="179"/>
      <c r="F494" s="179"/>
      <c r="G494" s="194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</row>
    <row r="495">
      <c r="A495" s="179"/>
      <c r="B495" s="179"/>
      <c r="C495" s="179"/>
      <c r="D495" s="179"/>
      <c r="E495" s="179"/>
      <c r="F495" s="179"/>
      <c r="G495" s="194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</row>
    <row r="496">
      <c r="A496" s="179"/>
      <c r="B496" s="179"/>
      <c r="C496" s="179"/>
      <c r="D496" s="179"/>
      <c r="E496" s="179"/>
      <c r="F496" s="179"/>
      <c r="G496" s="194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</row>
    <row r="497">
      <c r="A497" s="179"/>
      <c r="B497" s="179"/>
      <c r="C497" s="179"/>
      <c r="D497" s="179"/>
      <c r="E497" s="179"/>
      <c r="F497" s="179"/>
      <c r="G497" s="194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</row>
    <row r="498">
      <c r="A498" s="179"/>
      <c r="B498" s="179"/>
      <c r="C498" s="179"/>
      <c r="D498" s="179"/>
      <c r="E498" s="179"/>
      <c r="F498" s="179"/>
      <c r="G498" s="194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</row>
    <row r="499">
      <c r="A499" s="179"/>
      <c r="B499" s="179"/>
      <c r="C499" s="179"/>
      <c r="D499" s="179"/>
      <c r="E499" s="179"/>
      <c r="F499" s="179"/>
      <c r="G499" s="194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</row>
    <row r="500">
      <c r="A500" s="179"/>
      <c r="B500" s="179"/>
      <c r="C500" s="179"/>
      <c r="D500" s="179"/>
      <c r="E500" s="179"/>
      <c r="F500" s="179"/>
      <c r="G500" s="194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</row>
    <row r="501">
      <c r="A501" s="179"/>
      <c r="B501" s="179"/>
      <c r="C501" s="179"/>
      <c r="D501" s="179"/>
      <c r="E501" s="179"/>
      <c r="F501" s="179"/>
      <c r="G501" s="194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</row>
    <row r="502">
      <c r="A502" s="179"/>
      <c r="B502" s="179"/>
      <c r="C502" s="179"/>
      <c r="D502" s="179"/>
      <c r="E502" s="179"/>
      <c r="F502" s="179"/>
      <c r="G502" s="194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</row>
    <row r="503">
      <c r="A503" s="179"/>
      <c r="B503" s="179"/>
      <c r="C503" s="179"/>
      <c r="D503" s="179"/>
      <c r="E503" s="179"/>
      <c r="F503" s="179"/>
      <c r="G503" s="194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</row>
    <row r="504">
      <c r="A504" s="179"/>
      <c r="B504" s="179"/>
      <c r="C504" s="179"/>
      <c r="D504" s="179"/>
      <c r="E504" s="179"/>
      <c r="F504" s="179"/>
      <c r="G504" s="194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</row>
    <row r="505">
      <c r="A505" s="179"/>
      <c r="B505" s="179"/>
      <c r="C505" s="179"/>
      <c r="D505" s="179"/>
      <c r="E505" s="179"/>
      <c r="F505" s="179"/>
      <c r="G505" s="194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</row>
    <row r="506">
      <c r="A506" s="179"/>
      <c r="B506" s="179"/>
      <c r="C506" s="179"/>
      <c r="D506" s="179"/>
      <c r="E506" s="179"/>
      <c r="F506" s="179"/>
      <c r="G506" s="194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</row>
    <row r="507">
      <c r="A507" s="179"/>
      <c r="B507" s="179"/>
      <c r="C507" s="179"/>
      <c r="D507" s="179"/>
      <c r="E507" s="179"/>
      <c r="F507" s="179"/>
      <c r="G507" s="194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</row>
    <row r="508">
      <c r="A508" s="179"/>
      <c r="B508" s="179"/>
      <c r="C508" s="179"/>
      <c r="D508" s="179"/>
      <c r="E508" s="179"/>
      <c r="F508" s="179"/>
      <c r="G508" s="194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</row>
    <row r="509">
      <c r="A509" s="179"/>
      <c r="B509" s="179"/>
      <c r="C509" s="179"/>
      <c r="D509" s="179"/>
      <c r="E509" s="179"/>
      <c r="F509" s="179"/>
      <c r="G509" s="194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</row>
    <row r="510">
      <c r="A510" s="179"/>
      <c r="B510" s="179"/>
      <c r="C510" s="179"/>
      <c r="D510" s="179"/>
      <c r="E510" s="179"/>
      <c r="F510" s="179"/>
      <c r="G510" s="194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</row>
    <row r="511">
      <c r="A511" s="179"/>
      <c r="B511" s="179"/>
      <c r="C511" s="179"/>
      <c r="D511" s="179"/>
      <c r="E511" s="179"/>
      <c r="F511" s="179"/>
      <c r="G511" s="194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</row>
    <row r="512">
      <c r="A512" s="179"/>
      <c r="B512" s="179"/>
      <c r="C512" s="179"/>
      <c r="D512" s="179"/>
      <c r="E512" s="179"/>
      <c r="F512" s="179"/>
      <c r="G512" s="194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</row>
    <row r="513">
      <c r="A513" s="179"/>
      <c r="B513" s="179"/>
      <c r="C513" s="179"/>
      <c r="D513" s="179"/>
      <c r="E513" s="179"/>
      <c r="F513" s="179"/>
      <c r="G513" s="194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</row>
    <row r="514">
      <c r="A514" s="179"/>
      <c r="B514" s="179"/>
      <c r="C514" s="179"/>
      <c r="D514" s="179"/>
      <c r="E514" s="179"/>
      <c r="F514" s="179"/>
      <c r="G514" s="194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</row>
    <row r="515">
      <c r="A515" s="179"/>
      <c r="B515" s="179"/>
      <c r="C515" s="179"/>
      <c r="D515" s="179"/>
      <c r="E515" s="179"/>
      <c r="F515" s="179"/>
      <c r="G515" s="194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</row>
    <row r="516">
      <c r="A516" s="179"/>
      <c r="B516" s="179"/>
      <c r="C516" s="179"/>
      <c r="D516" s="179"/>
      <c r="E516" s="179"/>
      <c r="F516" s="179"/>
      <c r="G516" s="194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</row>
    <row r="517">
      <c r="A517" s="179"/>
      <c r="B517" s="179"/>
      <c r="C517" s="179"/>
      <c r="D517" s="179"/>
      <c r="E517" s="179"/>
      <c r="F517" s="179"/>
      <c r="G517" s="194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</row>
    <row r="518">
      <c r="A518" s="179"/>
      <c r="B518" s="179"/>
      <c r="C518" s="179"/>
      <c r="D518" s="179"/>
      <c r="E518" s="179"/>
      <c r="F518" s="179"/>
      <c r="G518" s="194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</row>
    <row r="519">
      <c r="A519" s="179"/>
      <c r="B519" s="179"/>
      <c r="C519" s="179"/>
      <c r="D519" s="179"/>
      <c r="E519" s="179"/>
      <c r="F519" s="179"/>
      <c r="G519" s="194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</row>
    <row r="520">
      <c r="A520" s="179"/>
      <c r="B520" s="179"/>
      <c r="C520" s="179"/>
      <c r="D520" s="179"/>
      <c r="E520" s="179"/>
      <c r="F520" s="179"/>
      <c r="G520" s="194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</row>
    <row r="521">
      <c r="A521" s="179"/>
      <c r="B521" s="179"/>
      <c r="C521" s="179"/>
      <c r="D521" s="179"/>
      <c r="E521" s="179"/>
      <c r="F521" s="179"/>
      <c r="G521" s="194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</row>
    <row r="522">
      <c r="A522" s="179"/>
      <c r="B522" s="179"/>
      <c r="C522" s="179"/>
      <c r="D522" s="179"/>
      <c r="E522" s="179"/>
      <c r="F522" s="179"/>
      <c r="G522" s="194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</row>
    <row r="523">
      <c r="A523" s="179"/>
      <c r="B523" s="179"/>
      <c r="C523" s="179"/>
      <c r="D523" s="179"/>
      <c r="E523" s="179"/>
      <c r="F523" s="179"/>
      <c r="G523" s="194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</row>
    <row r="524">
      <c r="A524" s="179"/>
      <c r="B524" s="179"/>
      <c r="C524" s="179"/>
      <c r="D524" s="179"/>
      <c r="E524" s="179"/>
      <c r="F524" s="179"/>
      <c r="G524" s="194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</row>
    <row r="525">
      <c r="A525" s="179"/>
      <c r="B525" s="179"/>
      <c r="C525" s="179"/>
      <c r="D525" s="179"/>
      <c r="E525" s="179"/>
      <c r="F525" s="179"/>
      <c r="G525" s="194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</row>
    <row r="526">
      <c r="A526" s="179"/>
      <c r="B526" s="179"/>
      <c r="C526" s="179"/>
      <c r="D526" s="179"/>
      <c r="E526" s="179"/>
      <c r="F526" s="179"/>
      <c r="G526" s="194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</row>
    <row r="527">
      <c r="A527" s="179"/>
      <c r="B527" s="179"/>
      <c r="C527" s="179"/>
      <c r="D527" s="179"/>
      <c r="E527" s="179"/>
      <c r="F527" s="179"/>
      <c r="G527" s="194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</row>
    <row r="528">
      <c r="A528" s="179"/>
      <c r="B528" s="179"/>
      <c r="C528" s="179"/>
      <c r="D528" s="179"/>
      <c r="E528" s="179"/>
      <c r="F528" s="179"/>
      <c r="G528" s="194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</row>
    <row r="529">
      <c r="A529" s="179"/>
      <c r="B529" s="179"/>
      <c r="C529" s="179"/>
      <c r="D529" s="179"/>
      <c r="E529" s="179"/>
      <c r="F529" s="179"/>
      <c r="G529" s="194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</row>
    <row r="530">
      <c r="A530" s="179"/>
      <c r="B530" s="179"/>
      <c r="C530" s="179"/>
      <c r="D530" s="179"/>
      <c r="E530" s="179"/>
      <c r="F530" s="179"/>
      <c r="G530" s="194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</row>
    <row r="531">
      <c r="A531" s="179"/>
      <c r="B531" s="179"/>
      <c r="C531" s="179"/>
      <c r="D531" s="179"/>
      <c r="E531" s="179"/>
      <c r="F531" s="179"/>
      <c r="G531" s="194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</row>
    <row r="532">
      <c r="A532" s="179"/>
      <c r="B532" s="179"/>
      <c r="C532" s="179"/>
      <c r="D532" s="179"/>
      <c r="E532" s="179"/>
      <c r="F532" s="179"/>
      <c r="G532" s="194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</row>
    <row r="533">
      <c r="A533" s="179"/>
      <c r="B533" s="179"/>
      <c r="C533" s="179"/>
      <c r="D533" s="179"/>
      <c r="E533" s="179"/>
      <c r="F533" s="179"/>
      <c r="G533" s="194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</row>
    <row r="534">
      <c r="A534" s="179"/>
      <c r="B534" s="179"/>
      <c r="C534" s="179"/>
      <c r="D534" s="179"/>
      <c r="E534" s="179"/>
      <c r="F534" s="179"/>
      <c r="G534" s="194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</row>
    <row r="535">
      <c r="A535" s="179"/>
      <c r="B535" s="179"/>
      <c r="C535" s="179"/>
      <c r="D535" s="179"/>
      <c r="E535" s="179"/>
      <c r="F535" s="179"/>
      <c r="G535" s="194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</row>
    <row r="536">
      <c r="A536" s="179"/>
      <c r="B536" s="179"/>
      <c r="C536" s="179"/>
      <c r="D536" s="179"/>
      <c r="E536" s="179"/>
      <c r="F536" s="179"/>
      <c r="G536" s="194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</row>
    <row r="537">
      <c r="A537" s="179"/>
      <c r="B537" s="179"/>
      <c r="C537" s="179"/>
      <c r="D537" s="179"/>
      <c r="E537" s="179"/>
      <c r="F537" s="179"/>
      <c r="G537" s="194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</row>
    <row r="538">
      <c r="A538" s="179"/>
      <c r="B538" s="179"/>
      <c r="C538" s="179"/>
      <c r="D538" s="179"/>
      <c r="E538" s="179"/>
      <c r="F538" s="179"/>
      <c r="G538" s="194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</row>
    <row r="539">
      <c r="A539" s="179"/>
      <c r="B539" s="179"/>
      <c r="C539" s="179"/>
      <c r="D539" s="179"/>
      <c r="E539" s="179"/>
      <c r="F539" s="179"/>
      <c r="G539" s="194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</row>
    <row r="540">
      <c r="A540" s="179"/>
      <c r="B540" s="179"/>
      <c r="C540" s="179"/>
      <c r="D540" s="179"/>
      <c r="E540" s="179"/>
      <c r="F540" s="179"/>
      <c r="G540" s="194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</row>
    <row r="541">
      <c r="A541" s="179"/>
      <c r="B541" s="179"/>
      <c r="C541" s="179"/>
      <c r="D541" s="179"/>
      <c r="E541" s="179"/>
      <c r="F541" s="179"/>
      <c r="G541" s="194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</row>
    <row r="542">
      <c r="A542" s="179"/>
      <c r="B542" s="179"/>
      <c r="C542" s="179"/>
      <c r="D542" s="179"/>
      <c r="E542" s="179"/>
      <c r="F542" s="179"/>
      <c r="G542" s="194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</row>
    <row r="543">
      <c r="A543" s="179"/>
      <c r="B543" s="179"/>
      <c r="C543" s="179"/>
      <c r="D543" s="179"/>
      <c r="E543" s="179"/>
      <c r="F543" s="179"/>
      <c r="G543" s="194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</row>
    <row r="544">
      <c r="A544" s="179"/>
      <c r="B544" s="179"/>
      <c r="C544" s="179"/>
      <c r="D544" s="179"/>
      <c r="E544" s="179"/>
      <c r="F544" s="179"/>
      <c r="G544" s="194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</row>
    <row r="545">
      <c r="A545" s="179"/>
      <c r="B545" s="179"/>
      <c r="C545" s="179"/>
      <c r="D545" s="179"/>
      <c r="E545" s="179"/>
      <c r="F545" s="179"/>
      <c r="G545" s="194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</row>
    <row r="546">
      <c r="A546" s="179"/>
      <c r="B546" s="179"/>
      <c r="C546" s="179"/>
      <c r="D546" s="179"/>
      <c r="E546" s="179"/>
      <c r="F546" s="179"/>
      <c r="G546" s="194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</row>
    <row r="547">
      <c r="A547" s="179"/>
      <c r="B547" s="179"/>
      <c r="C547" s="179"/>
      <c r="D547" s="179"/>
      <c r="E547" s="179"/>
      <c r="F547" s="179"/>
      <c r="G547" s="194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</row>
    <row r="548">
      <c r="A548" s="179"/>
      <c r="B548" s="179"/>
      <c r="C548" s="179"/>
      <c r="D548" s="179"/>
      <c r="E548" s="179"/>
      <c r="F548" s="179"/>
      <c r="G548" s="194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</row>
    <row r="549">
      <c r="A549" s="179"/>
      <c r="B549" s="179"/>
      <c r="C549" s="179"/>
      <c r="D549" s="179"/>
      <c r="E549" s="179"/>
      <c r="F549" s="179"/>
      <c r="G549" s="194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</row>
    <row r="550">
      <c r="A550" s="179"/>
      <c r="B550" s="179"/>
      <c r="C550" s="179"/>
      <c r="D550" s="179"/>
      <c r="E550" s="179"/>
      <c r="F550" s="179"/>
      <c r="G550" s="194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</row>
    <row r="551">
      <c r="A551" s="179"/>
      <c r="B551" s="179"/>
      <c r="C551" s="179"/>
      <c r="D551" s="179"/>
      <c r="E551" s="179"/>
      <c r="F551" s="179"/>
      <c r="G551" s="194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</row>
    <row r="552">
      <c r="A552" s="179"/>
      <c r="B552" s="179"/>
      <c r="C552" s="179"/>
      <c r="D552" s="179"/>
      <c r="E552" s="179"/>
      <c r="F552" s="179"/>
      <c r="G552" s="194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</row>
    <row r="553">
      <c r="A553" s="179"/>
      <c r="B553" s="179"/>
      <c r="C553" s="179"/>
      <c r="D553" s="179"/>
      <c r="E553" s="179"/>
      <c r="F553" s="179"/>
      <c r="G553" s="194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</row>
    <row r="554">
      <c r="A554" s="179"/>
      <c r="B554" s="179"/>
      <c r="C554" s="179"/>
      <c r="D554" s="179"/>
      <c r="E554" s="179"/>
      <c r="F554" s="179"/>
      <c r="G554" s="194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</row>
    <row r="555">
      <c r="A555" s="179"/>
      <c r="B555" s="179"/>
      <c r="C555" s="179"/>
      <c r="D555" s="179"/>
      <c r="E555" s="179"/>
      <c r="F555" s="179"/>
      <c r="G555" s="194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</row>
    <row r="556">
      <c r="A556" s="179"/>
      <c r="B556" s="179"/>
      <c r="C556" s="179"/>
      <c r="D556" s="179"/>
      <c r="E556" s="179"/>
      <c r="F556" s="179"/>
      <c r="G556" s="194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</row>
    <row r="557">
      <c r="A557" s="179"/>
      <c r="B557" s="179"/>
      <c r="C557" s="179"/>
      <c r="D557" s="179"/>
      <c r="E557" s="179"/>
      <c r="F557" s="179"/>
      <c r="G557" s="194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</row>
    <row r="558">
      <c r="A558" s="179"/>
      <c r="B558" s="179"/>
      <c r="C558" s="179"/>
      <c r="D558" s="179"/>
      <c r="E558" s="179"/>
      <c r="F558" s="179"/>
      <c r="G558" s="194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</row>
    <row r="559">
      <c r="A559" s="179"/>
      <c r="B559" s="179"/>
      <c r="C559" s="179"/>
      <c r="D559" s="179"/>
      <c r="E559" s="179"/>
      <c r="F559" s="179"/>
      <c r="G559" s="194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</row>
    <row r="560">
      <c r="A560" s="179"/>
      <c r="B560" s="179"/>
      <c r="C560" s="179"/>
      <c r="D560" s="179"/>
      <c r="E560" s="179"/>
      <c r="F560" s="179"/>
      <c r="G560" s="194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</row>
    <row r="561">
      <c r="A561" s="179"/>
      <c r="B561" s="179"/>
      <c r="C561" s="179"/>
      <c r="D561" s="179"/>
      <c r="E561" s="179"/>
      <c r="F561" s="179"/>
      <c r="G561" s="194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</row>
    <row r="562">
      <c r="A562" s="179"/>
      <c r="B562" s="179"/>
      <c r="C562" s="179"/>
      <c r="D562" s="179"/>
      <c r="E562" s="179"/>
      <c r="F562" s="179"/>
      <c r="G562" s="194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</row>
    <row r="563">
      <c r="A563" s="179"/>
      <c r="B563" s="179"/>
      <c r="C563" s="179"/>
      <c r="D563" s="179"/>
      <c r="E563" s="179"/>
      <c r="F563" s="179"/>
      <c r="G563" s="194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</row>
    <row r="564">
      <c r="A564" s="179"/>
      <c r="B564" s="179"/>
      <c r="C564" s="179"/>
      <c r="D564" s="179"/>
      <c r="E564" s="179"/>
      <c r="F564" s="179"/>
      <c r="G564" s="194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</row>
    <row r="565">
      <c r="A565" s="179"/>
      <c r="B565" s="179"/>
      <c r="C565" s="179"/>
      <c r="D565" s="179"/>
      <c r="E565" s="179"/>
      <c r="F565" s="179"/>
      <c r="G565" s="194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</row>
    <row r="566">
      <c r="A566" s="179"/>
      <c r="B566" s="179"/>
      <c r="C566" s="179"/>
      <c r="D566" s="179"/>
      <c r="E566" s="179"/>
      <c r="F566" s="179"/>
      <c r="G566" s="194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</row>
    <row r="567">
      <c r="A567" s="179"/>
      <c r="B567" s="179"/>
      <c r="C567" s="179"/>
      <c r="D567" s="179"/>
      <c r="E567" s="179"/>
      <c r="F567" s="179"/>
      <c r="G567" s="194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</row>
    <row r="568">
      <c r="A568" s="179"/>
      <c r="B568" s="179"/>
      <c r="C568" s="179"/>
      <c r="D568" s="179"/>
      <c r="E568" s="179"/>
      <c r="F568" s="179"/>
      <c r="G568" s="194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</row>
    <row r="569">
      <c r="A569" s="179"/>
      <c r="B569" s="179"/>
      <c r="C569" s="179"/>
      <c r="D569" s="179"/>
      <c r="E569" s="179"/>
      <c r="F569" s="179"/>
      <c r="G569" s="194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</row>
    <row r="570">
      <c r="A570" s="179"/>
      <c r="B570" s="179"/>
      <c r="C570" s="179"/>
      <c r="D570" s="179"/>
      <c r="E570" s="179"/>
      <c r="F570" s="179"/>
      <c r="G570" s="194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</row>
    <row r="571">
      <c r="A571" s="179"/>
      <c r="B571" s="179"/>
      <c r="C571" s="179"/>
      <c r="D571" s="179"/>
      <c r="E571" s="179"/>
      <c r="F571" s="179"/>
      <c r="G571" s="194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</row>
    <row r="572">
      <c r="A572" s="179"/>
      <c r="B572" s="179"/>
      <c r="C572" s="179"/>
      <c r="D572" s="179"/>
      <c r="E572" s="179"/>
      <c r="F572" s="179"/>
      <c r="G572" s="194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</row>
    <row r="573">
      <c r="A573" s="179"/>
      <c r="B573" s="179"/>
      <c r="C573" s="179"/>
      <c r="D573" s="179"/>
      <c r="E573" s="179"/>
      <c r="F573" s="179"/>
      <c r="G573" s="194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</row>
    <row r="574">
      <c r="A574" s="179"/>
      <c r="B574" s="179"/>
      <c r="C574" s="179"/>
      <c r="D574" s="179"/>
      <c r="E574" s="179"/>
      <c r="F574" s="179"/>
      <c r="G574" s="194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</row>
    <row r="575">
      <c r="A575" s="179"/>
      <c r="B575" s="179"/>
      <c r="C575" s="179"/>
      <c r="D575" s="179"/>
      <c r="E575" s="179"/>
      <c r="F575" s="179"/>
      <c r="G575" s="194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</row>
    <row r="576">
      <c r="A576" s="179"/>
      <c r="B576" s="179"/>
      <c r="C576" s="179"/>
      <c r="D576" s="179"/>
      <c r="E576" s="179"/>
      <c r="F576" s="179"/>
      <c r="G576" s="194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</row>
    <row r="577">
      <c r="A577" s="179"/>
      <c r="B577" s="179"/>
      <c r="C577" s="179"/>
      <c r="D577" s="179"/>
      <c r="E577" s="179"/>
      <c r="F577" s="179"/>
      <c r="G577" s="194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</row>
    <row r="578">
      <c r="A578" s="179"/>
      <c r="B578" s="179"/>
      <c r="C578" s="179"/>
      <c r="D578" s="179"/>
      <c r="E578" s="179"/>
      <c r="F578" s="179"/>
      <c r="G578" s="194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</row>
    <row r="579">
      <c r="A579" s="179"/>
      <c r="B579" s="179"/>
      <c r="C579" s="179"/>
      <c r="D579" s="179"/>
      <c r="E579" s="179"/>
      <c r="F579" s="179"/>
      <c r="G579" s="194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</row>
    <row r="580">
      <c r="A580" s="179"/>
      <c r="B580" s="179"/>
      <c r="C580" s="179"/>
      <c r="D580" s="179"/>
      <c r="E580" s="179"/>
      <c r="F580" s="179"/>
      <c r="G580" s="194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</row>
    <row r="581">
      <c r="A581" s="179"/>
      <c r="B581" s="179"/>
      <c r="C581" s="179"/>
      <c r="D581" s="179"/>
      <c r="E581" s="179"/>
      <c r="F581" s="179"/>
      <c r="G581" s="194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</row>
    <row r="582">
      <c r="A582" s="179"/>
      <c r="B582" s="179"/>
      <c r="C582" s="179"/>
      <c r="D582" s="179"/>
      <c r="E582" s="179"/>
      <c r="F582" s="179"/>
      <c r="G582" s="194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</row>
    <row r="583">
      <c r="A583" s="179"/>
      <c r="B583" s="179"/>
      <c r="C583" s="179"/>
      <c r="D583" s="179"/>
      <c r="E583" s="179"/>
      <c r="F583" s="179"/>
      <c r="G583" s="194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</row>
    <row r="584">
      <c r="A584" s="179"/>
      <c r="B584" s="179"/>
      <c r="C584" s="179"/>
      <c r="D584" s="179"/>
      <c r="E584" s="179"/>
      <c r="F584" s="179"/>
      <c r="G584" s="194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</row>
    <row r="585">
      <c r="A585" s="179"/>
      <c r="B585" s="179"/>
      <c r="C585" s="179"/>
      <c r="D585" s="179"/>
      <c r="E585" s="179"/>
      <c r="F585" s="179"/>
      <c r="G585" s="194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</row>
    <row r="586">
      <c r="A586" s="179"/>
      <c r="B586" s="179"/>
      <c r="C586" s="179"/>
      <c r="D586" s="179"/>
      <c r="E586" s="179"/>
      <c r="F586" s="179"/>
      <c r="G586" s="194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</row>
    <row r="587">
      <c r="A587" s="179"/>
      <c r="B587" s="179"/>
      <c r="C587" s="179"/>
      <c r="D587" s="179"/>
      <c r="E587" s="179"/>
      <c r="F587" s="179"/>
      <c r="G587" s="194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</row>
    <row r="588">
      <c r="A588" s="179"/>
      <c r="B588" s="179"/>
      <c r="C588" s="179"/>
      <c r="D588" s="179"/>
      <c r="E588" s="179"/>
      <c r="F588" s="179"/>
      <c r="G588" s="194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</row>
    <row r="589">
      <c r="A589" s="179"/>
      <c r="B589" s="179"/>
      <c r="C589" s="179"/>
      <c r="D589" s="179"/>
      <c r="E589" s="179"/>
      <c r="F589" s="179"/>
      <c r="G589" s="194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</row>
    <row r="590">
      <c r="A590" s="179"/>
      <c r="B590" s="179"/>
      <c r="C590" s="179"/>
      <c r="D590" s="179"/>
      <c r="E590" s="179"/>
      <c r="F590" s="179"/>
      <c r="G590" s="194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</row>
    <row r="591">
      <c r="A591" s="179"/>
      <c r="B591" s="179"/>
      <c r="C591" s="179"/>
      <c r="D591" s="179"/>
      <c r="E591" s="179"/>
      <c r="F591" s="179"/>
      <c r="G591" s="194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</row>
    <row r="592">
      <c r="A592" s="179"/>
      <c r="B592" s="179"/>
      <c r="C592" s="179"/>
      <c r="D592" s="179"/>
      <c r="E592" s="179"/>
      <c r="F592" s="179"/>
      <c r="G592" s="194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</row>
    <row r="593">
      <c r="A593" s="179"/>
      <c r="B593" s="179"/>
      <c r="C593" s="179"/>
      <c r="D593" s="179"/>
      <c r="E593" s="179"/>
      <c r="F593" s="179"/>
      <c r="G593" s="194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</row>
    <row r="594">
      <c r="A594" s="179"/>
      <c r="B594" s="179"/>
      <c r="C594" s="179"/>
      <c r="D594" s="179"/>
      <c r="E594" s="179"/>
      <c r="F594" s="179"/>
      <c r="G594" s="194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</row>
    <row r="595">
      <c r="A595" s="179"/>
      <c r="B595" s="179"/>
      <c r="C595" s="179"/>
      <c r="D595" s="179"/>
      <c r="E595" s="179"/>
      <c r="F595" s="179"/>
      <c r="G595" s="194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</row>
    <row r="596">
      <c r="A596" s="179"/>
      <c r="B596" s="179"/>
      <c r="C596" s="179"/>
      <c r="D596" s="179"/>
      <c r="E596" s="179"/>
      <c r="F596" s="179"/>
      <c r="G596" s="194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</row>
    <row r="597">
      <c r="A597" s="179"/>
      <c r="B597" s="179"/>
      <c r="C597" s="179"/>
      <c r="D597" s="179"/>
      <c r="E597" s="179"/>
      <c r="F597" s="179"/>
      <c r="G597" s="194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</row>
    <row r="598">
      <c r="A598" s="179"/>
      <c r="B598" s="179"/>
      <c r="C598" s="179"/>
      <c r="D598" s="179"/>
      <c r="E598" s="179"/>
      <c r="F598" s="179"/>
      <c r="G598" s="194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</row>
    <row r="599">
      <c r="A599" s="179"/>
      <c r="B599" s="179"/>
      <c r="C599" s="179"/>
      <c r="D599" s="179"/>
      <c r="E599" s="179"/>
      <c r="F599" s="179"/>
      <c r="G599" s="194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</row>
    <row r="600">
      <c r="A600" s="179"/>
      <c r="B600" s="179"/>
      <c r="C600" s="179"/>
      <c r="D600" s="179"/>
      <c r="E600" s="179"/>
      <c r="F600" s="179"/>
      <c r="G600" s="194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</row>
    <row r="601">
      <c r="A601" s="179"/>
      <c r="B601" s="179"/>
      <c r="C601" s="179"/>
      <c r="D601" s="179"/>
      <c r="E601" s="179"/>
      <c r="F601" s="179"/>
      <c r="G601" s="194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</row>
    <row r="602">
      <c r="A602" s="179"/>
      <c r="B602" s="179"/>
      <c r="C602" s="179"/>
      <c r="D602" s="179"/>
      <c r="E602" s="179"/>
      <c r="F602" s="179"/>
      <c r="G602" s="194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</row>
    <row r="603">
      <c r="A603" s="179"/>
      <c r="B603" s="179"/>
      <c r="C603" s="179"/>
      <c r="D603" s="179"/>
      <c r="E603" s="179"/>
      <c r="F603" s="179"/>
      <c r="G603" s="194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</row>
    <row r="604">
      <c r="A604" s="179"/>
      <c r="B604" s="179"/>
      <c r="C604" s="179"/>
      <c r="D604" s="179"/>
      <c r="E604" s="179"/>
      <c r="F604" s="179"/>
      <c r="G604" s="194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</row>
    <row r="605">
      <c r="A605" s="179"/>
      <c r="B605" s="179"/>
      <c r="C605" s="179"/>
      <c r="D605" s="179"/>
      <c r="E605" s="179"/>
      <c r="F605" s="179"/>
      <c r="G605" s="194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</row>
    <row r="606">
      <c r="A606" s="179"/>
      <c r="B606" s="179"/>
      <c r="C606" s="179"/>
      <c r="D606" s="179"/>
      <c r="E606" s="179"/>
      <c r="F606" s="179"/>
      <c r="G606" s="194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</row>
    <row r="607">
      <c r="A607" s="179"/>
      <c r="B607" s="179"/>
      <c r="C607" s="179"/>
      <c r="D607" s="179"/>
      <c r="E607" s="179"/>
      <c r="F607" s="179"/>
      <c r="G607" s="194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</row>
    <row r="608">
      <c r="A608" s="179"/>
      <c r="B608" s="179"/>
      <c r="C608" s="179"/>
      <c r="D608" s="179"/>
      <c r="E608" s="179"/>
      <c r="F608" s="179"/>
      <c r="G608" s="194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</row>
    <row r="609">
      <c r="A609" s="179"/>
      <c r="B609" s="179"/>
      <c r="C609" s="179"/>
      <c r="D609" s="179"/>
      <c r="E609" s="179"/>
      <c r="F609" s="179"/>
      <c r="G609" s="194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</row>
    <row r="610">
      <c r="A610" s="179"/>
      <c r="B610" s="179"/>
      <c r="C610" s="179"/>
      <c r="D610" s="179"/>
      <c r="E610" s="179"/>
      <c r="F610" s="179"/>
      <c r="G610" s="194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</row>
    <row r="611">
      <c r="A611" s="179"/>
      <c r="B611" s="179"/>
      <c r="C611" s="179"/>
      <c r="D611" s="179"/>
      <c r="E611" s="179"/>
      <c r="F611" s="179"/>
      <c r="G611" s="194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</row>
    <row r="612">
      <c r="A612" s="179"/>
      <c r="B612" s="179"/>
      <c r="C612" s="179"/>
      <c r="D612" s="179"/>
      <c r="E612" s="179"/>
      <c r="F612" s="179"/>
      <c r="G612" s="194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</row>
    <row r="613">
      <c r="A613" s="179"/>
      <c r="B613" s="179"/>
      <c r="C613" s="179"/>
      <c r="D613" s="179"/>
      <c r="E613" s="179"/>
      <c r="F613" s="179"/>
      <c r="G613" s="194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</row>
    <row r="614">
      <c r="A614" s="179"/>
      <c r="B614" s="179"/>
      <c r="C614" s="179"/>
      <c r="D614" s="179"/>
      <c r="E614" s="179"/>
      <c r="F614" s="179"/>
      <c r="G614" s="194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</row>
    <row r="615">
      <c r="A615" s="179"/>
      <c r="B615" s="179"/>
      <c r="C615" s="179"/>
      <c r="D615" s="179"/>
      <c r="E615" s="179"/>
      <c r="F615" s="179"/>
      <c r="G615" s="194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</row>
    <row r="616">
      <c r="A616" s="179"/>
      <c r="B616" s="179"/>
      <c r="C616" s="179"/>
      <c r="D616" s="179"/>
      <c r="E616" s="179"/>
      <c r="F616" s="179"/>
      <c r="G616" s="194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</row>
    <row r="617">
      <c r="A617" s="179"/>
      <c r="B617" s="179"/>
      <c r="C617" s="179"/>
      <c r="D617" s="179"/>
      <c r="E617" s="179"/>
      <c r="F617" s="179"/>
      <c r="G617" s="194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</row>
    <row r="618">
      <c r="A618" s="179"/>
      <c r="B618" s="179"/>
      <c r="C618" s="179"/>
      <c r="D618" s="179"/>
      <c r="E618" s="179"/>
      <c r="F618" s="179"/>
      <c r="G618" s="194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</row>
    <row r="619">
      <c r="A619" s="179"/>
      <c r="B619" s="179"/>
      <c r="C619" s="179"/>
      <c r="D619" s="179"/>
      <c r="E619" s="179"/>
      <c r="F619" s="179"/>
      <c r="G619" s="194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</row>
    <row r="620">
      <c r="A620" s="179"/>
      <c r="B620" s="179"/>
      <c r="C620" s="179"/>
      <c r="D620" s="179"/>
      <c r="E620" s="179"/>
      <c r="F620" s="179"/>
      <c r="G620" s="194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</row>
    <row r="621">
      <c r="A621" s="179"/>
      <c r="B621" s="179"/>
      <c r="C621" s="179"/>
      <c r="D621" s="179"/>
      <c r="E621" s="179"/>
      <c r="F621" s="179"/>
      <c r="G621" s="194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</row>
    <row r="622">
      <c r="A622" s="179"/>
      <c r="B622" s="179"/>
      <c r="C622" s="179"/>
      <c r="D622" s="179"/>
      <c r="E622" s="179"/>
      <c r="F622" s="179"/>
      <c r="G622" s="194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</row>
    <row r="623">
      <c r="A623" s="179"/>
      <c r="B623" s="179"/>
      <c r="C623" s="179"/>
      <c r="D623" s="179"/>
      <c r="E623" s="179"/>
      <c r="F623" s="179"/>
      <c r="G623" s="194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</row>
    <row r="624">
      <c r="A624" s="179"/>
      <c r="B624" s="179"/>
      <c r="C624" s="179"/>
      <c r="D624" s="179"/>
      <c r="E624" s="179"/>
      <c r="F624" s="179"/>
      <c r="G624" s="194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</row>
    <row r="625">
      <c r="A625" s="179"/>
      <c r="B625" s="179"/>
      <c r="C625" s="179"/>
      <c r="D625" s="179"/>
      <c r="E625" s="179"/>
      <c r="F625" s="179"/>
      <c r="G625" s="194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</row>
    <row r="626">
      <c r="A626" s="179"/>
      <c r="B626" s="179"/>
      <c r="C626" s="179"/>
      <c r="D626" s="179"/>
      <c r="E626" s="179"/>
      <c r="F626" s="179"/>
      <c r="G626" s="194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</row>
    <row r="627">
      <c r="A627" s="179"/>
      <c r="B627" s="179"/>
      <c r="C627" s="179"/>
      <c r="D627" s="179"/>
      <c r="E627" s="179"/>
      <c r="F627" s="179"/>
      <c r="G627" s="194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</row>
    <row r="628">
      <c r="A628" s="179"/>
      <c r="B628" s="179"/>
      <c r="C628" s="179"/>
      <c r="D628" s="179"/>
      <c r="E628" s="179"/>
      <c r="F628" s="179"/>
      <c r="G628" s="194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</row>
    <row r="629">
      <c r="A629" s="179"/>
      <c r="B629" s="179"/>
      <c r="C629" s="179"/>
      <c r="D629" s="179"/>
      <c r="E629" s="179"/>
      <c r="F629" s="179"/>
      <c r="G629" s="194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</row>
    <row r="630">
      <c r="A630" s="179"/>
      <c r="B630" s="179"/>
      <c r="C630" s="179"/>
      <c r="D630" s="179"/>
      <c r="E630" s="179"/>
      <c r="F630" s="179"/>
      <c r="G630" s="194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</row>
    <row r="631">
      <c r="A631" s="179"/>
      <c r="B631" s="179"/>
      <c r="C631" s="179"/>
      <c r="D631" s="179"/>
      <c r="E631" s="179"/>
      <c r="F631" s="179"/>
      <c r="G631" s="194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</row>
    <row r="632">
      <c r="A632" s="179"/>
      <c r="B632" s="179"/>
      <c r="C632" s="179"/>
      <c r="D632" s="179"/>
      <c r="E632" s="179"/>
      <c r="F632" s="179"/>
      <c r="G632" s="194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</row>
    <row r="633">
      <c r="A633" s="179"/>
      <c r="B633" s="179"/>
      <c r="C633" s="179"/>
      <c r="D633" s="179"/>
      <c r="E633" s="179"/>
      <c r="F633" s="179"/>
      <c r="G633" s="194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</row>
    <row r="634">
      <c r="A634" s="179"/>
      <c r="B634" s="179"/>
      <c r="C634" s="179"/>
      <c r="D634" s="179"/>
      <c r="E634" s="179"/>
      <c r="F634" s="179"/>
      <c r="G634" s="194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</row>
    <row r="635">
      <c r="A635" s="179"/>
      <c r="B635" s="179"/>
      <c r="C635" s="179"/>
      <c r="D635" s="179"/>
      <c r="E635" s="179"/>
      <c r="F635" s="179"/>
      <c r="G635" s="194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</row>
    <row r="636">
      <c r="A636" s="179"/>
      <c r="B636" s="179"/>
      <c r="C636" s="179"/>
      <c r="D636" s="179"/>
      <c r="E636" s="179"/>
      <c r="F636" s="179"/>
      <c r="G636" s="194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</row>
    <row r="637">
      <c r="A637" s="179"/>
      <c r="B637" s="179"/>
      <c r="C637" s="179"/>
      <c r="D637" s="179"/>
      <c r="E637" s="179"/>
      <c r="F637" s="179"/>
      <c r="G637" s="194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</row>
    <row r="638">
      <c r="A638" s="179"/>
      <c r="B638" s="179"/>
      <c r="C638" s="179"/>
      <c r="D638" s="179"/>
      <c r="E638" s="179"/>
      <c r="F638" s="179"/>
      <c r="G638" s="194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</row>
    <row r="639">
      <c r="A639" s="179"/>
      <c r="B639" s="179"/>
      <c r="C639" s="179"/>
      <c r="D639" s="179"/>
      <c r="E639" s="179"/>
      <c r="F639" s="179"/>
      <c r="G639" s="194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</row>
    <row r="640">
      <c r="A640" s="179"/>
      <c r="B640" s="179"/>
      <c r="C640" s="179"/>
      <c r="D640" s="179"/>
      <c r="E640" s="179"/>
      <c r="F640" s="179"/>
      <c r="G640" s="194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</row>
    <row r="641">
      <c r="A641" s="179"/>
      <c r="B641" s="179"/>
      <c r="C641" s="179"/>
      <c r="D641" s="179"/>
      <c r="E641" s="179"/>
      <c r="F641" s="179"/>
      <c r="G641" s="194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</row>
    <row r="642">
      <c r="A642" s="179"/>
      <c r="B642" s="179"/>
      <c r="C642" s="179"/>
      <c r="D642" s="179"/>
      <c r="E642" s="179"/>
      <c r="F642" s="179"/>
      <c r="G642" s="194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</row>
    <row r="643">
      <c r="A643" s="179"/>
      <c r="B643" s="179"/>
      <c r="C643" s="179"/>
      <c r="D643" s="179"/>
      <c r="E643" s="179"/>
      <c r="F643" s="179"/>
      <c r="G643" s="194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</row>
    <row r="644">
      <c r="A644" s="179"/>
      <c r="B644" s="179"/>
      <c r="C644" s="179"/>
      <c r="D644" s="179"/>
      <c r="E644" s="179"/>
      <c r="F644" s="179"/>
      <c r="G644" s="194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</row>
    <row r="645">
      <c r="A645" s="179"/>
      <c r="B645" s="179"/>
      <c r="C645" s="179"/>
      <c r="D645" s="179"/>
      <c r="E645" s="179"/>
      <c r="F645" s="179"/>
      <c r="G645" s="194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</row>
    <row r="646">
      <c r="A646" s="179"/>
      <c r="B646" s="179"/>
      <c r="C646" s="179"/>
      <c r="D646" s="179"/>
      <c r="E646" s="179"/>
      <c r="F646" s="179"/>
      <c r="G646" s="194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</row>
    <row r="647">
      <c r="A647" s="179"/>
      <c r="B647" s="179"/>
      <c r="C647" s="179"/>
      <c r="D647" s="179"/>
      <c r="E647" s="179"/>
      <c r="F647" s="179"/>
      <c r="G647" s="194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</row>
    <row r="648">
      <c r="A648" s="179"/>
      <c r="B648" s="179"/>
      <c r="C648" s="179"/>
      <c r="D648" s="179"/>
      <c r="E648" s="179"/>
      <c r="F648" s="179"/>
      <c r="G648" s="194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</row>
    <row r="649">
      <c r="A649" s="179"/>
      <c r="B649" s="179"/>
      <c r="C649" s="179"/>
      <c r="D649" s="179"/>
      <c r="E649" s="179"/>
      <c r="F649" s="179"/>
      <c r="G649" s="194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</row>
    <row r="650">
      <c r="A650" s="179"/>
      <c r="B650" s="179"/>
      <c r="C650" s="179"/>
      <c r="D650" s="179"/>
      <c r="E650" s="179"/>
      <c r="F650" s="179"/>
      <c r="G650" s="194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</row>
    <row r="651">
      <c r="A651" s="179"/>
      <c r="B651" s="179"/>
      <c r="C651" s="179"/>
      <c r="D651" s="179"/>
      <c r="E651" s="179"/>
      <c r="F651" s="179"/>
      <c r="G651" s="194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</row>
    <row r="652">
      <c r="A652" s="179"/>
      <c r="B652" s="179"/>
      <c r="C652" s="179"/>
      <c r="D652" s="179"/>
      <c r="E652" s="179"/>
      <c r="F652" s="179"/>
      <c r="G652" s="194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</row>
    <row r="653">
      <c r="A653" s="179"/>
      <c r="B653" s="179"/>
      <c r="C653" s="179"/>
      <c r="D653" s="179"/>
      <c r="E653" s="179"/>
      <c r="F653" s="179"/>
      <c r="G653" s="194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</row>
    <row r="654">
      <c r="A654" s="179"/>
      <c r="B654" s="179"/>
      <c r="C654" s="179"/>
      <c r="D654" s="179"/>
      <c r="E654" s="179"/>
      <c r="F654" s="179"/>
      <c r="G654" s="194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</row>
    <row r="655">
      <c r="A655" s="179"/>
      <c r="B655" s="179"/>
      <c r="C655" s="179"/>
      <c r="D655" s="179"/>
      <c r="E655" s="179"/>
      <c r="F655" s="179"/>
      <c r="G655" s="194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</row>
    <row r="656">
      <c r="A656" s="179"/>
      <c r="B656" s="179"/>
      <c r="C656" s="179"/>
      <c r="D656" s="179"/>
      <c r="E656" s="179"/>
      <c r="F656" s="179"/>
      <c r="G656" s="194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</row>
    <row r="657">
      <c r="A657" s="179"/>
      <c r="B657" s="179"/>
      <c r="C657" s="179"/>
      <c r="D657" s="179"/>
      <c r="E657" s="179"/>
      <c r="F657" s="179"/>
      <c r="G657" s="194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</row>
    <row r="658">
      <c r="A658" s="179"/>
      <c r="B658" s="179"/>
      <c r="C658" s="179"/>
      <c r="D658" s="179"/>
      <c r="E658" s="179"/>
      <c r="F658" s="179"/>
      <c r="G658" s="194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</row>
    <row r="659">
      <c r="A659" s="179"/>
      <c r="B659" s="179"/>
      <c r="C659" s="179"/>
      <c r="D659" s="179"/>
      <c r="E659" s="179"/>
      <c r="F659" s="179"/>
      <c r="G659" s="194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</row>
    <row r="660">
      <c r="A660" s="179"/>
      <c r="B660" s="179"/>
      <c r="C660" s="179"/>
      <c r="D660" s="179"/>
      <c r="E660" s="179"/>
      <c r="F660" s="179"/>
      <c r="G660" s="194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</row>
    <row r="661">
      <c r="A661" s="179"/>
      <c r="B661" s="179"/>
      <c r="C661" s="179"/>
      <c r="D661" s="179"/>
      <c r="E661" s="179"/>
      <c r="F661" s="179"/>
      <c r="G661" s="194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</row>
    <row r="662">
      <c r="A662" s="179"/>
      <c r="B662" s="179"/>
      <c r="C662" s="179"/>
      <c r="D662" s="179"/>
      <c r="E662" s="179"/>
      <c r="F662" s="179"/>
      <c r="G662" s="194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</row>
    <row r="663">
      <c r="A663" s="179"/>
      <c r="B663" s="179"/>
      <c r="C663" s="179"/>
      <c r="D663" s="179"/>
      <c r="E663" s="179"/>
      <c r="F663" s="179"/>
      <c r="G663" s="194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</row>
    <row r="664">
      <c r="A664" s="179"/>
      <c r="B664" s="179"/>
      <c r="C664" s="179"/>
      <c r="D664" s="179"/>
      <c r="E664" s="179"/>
      <c r="F664" s="179"/>
      <c r="G664" s="194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</row>
    <row r="665">
      <c r="A665" s="179"/>
      <c r="B665" s="179"/>
      <c r="C665" s="179"/>
      <c r="D665" s="179"/>
      <c r="E665" s="179"/>
      <c r="F665" s="179"/>
      <c r="G665" s="194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</row>
    <row r="666">
      <c r="A666" s="179"/>
      <c r="B666" s="179"/>
      <c r="C666" s="179"/>
      <c r="D666" s="179"/>
      <c r="E666" s="179"/>
      <c r="F666" s="179"/>
      <c r="G666" s="194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</row>
    <row r="667">
      <c r="A667" s="179"/>
      <c r="B667" s="179"/>
      <c r="C667" s="179"/>
      <c r="D667" s="179"/>
      <c r="E667" s="179"/>
      <c r="F667" s="179"/>
      <c r="G667" s="194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</row>
    <row r="668">
      <c r="A668" s="179"/>
      <c r="B668" s="179"/>
      <c r="C668" s="179"/>
      <c r="D668" s="179"/>
      <c r="E668" s="179"/>
      <c r="F668" s="179"/>
      <c r="G668" s="194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</row>
    <row r="669">
      <c r="A669" s="179"/>
      <c r="B669" s="179"/>
      <c r="C669" s="179"/>
      <c r="D669" s="179"/>
      <c r="E669" s="179"/>
      <c r="F669" s="179"/>
      <c r="G669" s="194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</row>
    <row r="670">
      <c r="A670" s="179"/>
      <c r="B670" s="179"/>
      <c r="C670" s="179"/>
      <c r="D670" s="179"/>
      <c r="E670" s="179"/>
      <c r="F670" s="179"/>
      <c r="G670" s="194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</row>
    <row r="671">
      <c r="A671" s="179"/>
      <c r="B671" s="179"/>
      <c r="C671" s="179"/>
      <c r="D671" s="179"/>
      <c r="E671" s="179"/>
      <c r="F671" s="179"/>
      <c r="G671" s="194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</row>
    <row r="672">
      <c r="A672" s="179"/>
      <c r="B672" s="179"/>
      <c r="C672" s="179"/>
      <c r="D672" s="179"/>
      <c r="E672" s="179"/>
      <c r="F672" s="179"/>
      <c r="G672" s="194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</row>
    <row r="673">
      <c r="A673" s="179"/>
      <c r="B673" s="179"/>
      <c r="C673" s="179"/>
      <c r="D673" s="179"/>
      <c r="E673" s="179"/>
      <c r="F673" s="179"/>
      <c r="G673" s="194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</row>
    <row r="674">
      <c r="A674" s="179"/>
      <c r="B674" s="179"/>
      <c r="C674" s="179"/>
      <c r="D674" s="179"/>
      <c r="E674" s="179"/>
      <c r="F674" s="179"/>
      <c r="G674" s="194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</row>
    <row r="675">
      <c r="A675" s="179"/>
      <c r="B675" s="179"/>
      <c r="C675" s="179"/>
      <c r="D675" s="179"/>
      <c r="E675" s="179"/>
      <c r="F675" s="179"/>
      <c r="G675" s="194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</row>
    <row r="676">
      <c r="A676" s="179"/>
      <c r="B676" s="179"/>
      <c r="C676" s="179"/>
      <c r="D676" s="179"/>
      <c r="E676" s="179"/>
      <c r="F676" s="179"/>
      <c r="G676" s="194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</row>
    <row r="677">
      <c r="A677" s="179"/>
      <c r="B677" s="179"/>
      <c r="C677" s="179"/>
      <c r="D677" s="179"/>
      <c r="E677" s="179"/>
      <c r="F677" s="179"/>
      <c r="G677" s="194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</row>
    <row r="678">
      <c r="A678" s="179"/>
      <c r="B678" s="179"/>
      <c r="C678" s="179"/>
      <c r="D678" s="179"/>
      <c r="E678" s="179"/>
      <c r="F678" s="179"/>
      <c r="G678" s="194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</row>
    <row r="679">
      <c r="A679" s="179"/>
      <c r="B679" s="179"/>
      <c r="C679" s="179"/>
      <c r="D679" s="179"/>
      <c r="E679" s="179"/>
      <c r="F679" s="179"/>
      <c r="G679" s="194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</row>
    <row r="680">
      <c r="A680" s="179"/>
      <c r="B680" s="179"/>
      <c r="C680" s="179"/>
      <c r="D680" s="179"/>
      <c r="E680" s="179"/>
      <c r="F680" s="179"/>
      <c r="G680" s="194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</row>
    <row r="681">
      <c r="A681" s="179"/>
      <c r="B681" s="179"/>
      <c r="C681" s="179"/>
      <c r="D681" s="179"/>
      <c r="E681" s="179"/>
      <c r="F681" s="179"/>
      <c r="G681" s="194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</row>
    <row r="682">
      <c r="A682" s="179"/>
      <c r="B682" s="179"/>
      <c r="C682" s="179"/>
      <c r="D682" s="179"/>
      <c r="E682" s="179"/>
      <c r="F682" s="179"/>
      <c r="G682" s="194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</row>
    <row r="683">
      <c r="A683" s="179"/>
      <c r="B683" s="179"/>
      <c r="C683" s="179"/>
      <c r="D683" s="179"/>
      <c r="E683" s="179"/>
      <c r="F683" s="179"/>
      <c r="G683" s="194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</row>
    <row r="684">
      <c r="A684" s="179"/>
      <c r="B684" s="179"/>
      <c r="C684" s="179"/>
      <c r="D684" s="179"/>
      <c r="E684" s="179"/>
      <c r="F684" s="179"/>
      <c r="G684" s="194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</row>
    <row r="685">
      <c r="A685" s="179"/>
      <c r="B685" s="179"/>
      <c r="C685" s="179"/>
      <c r="D685" s="179"/>
      <c r="E685" s="179"/>
      <c r="F685" s="179"/>
      <c r="G685" s="194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</row>
    <row r="686">
      <c r="A686" s="179"/>
      <c r="B686" s="179"/>
      <c r="C686" s="179"/>
      <c r="D686" s="179"/>
      <c r="E686" s="179"/>
      <c r="F686" s="179"/>
      <c r="G686" s="194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</row>
    <row r="687">
      <c r="A687" s="179"/>
      <c r="B687" s="179"/>
      <c r="C687" s="179"/>
      <c r="D687" s="179"/>
      <c r="E687" s="179"/>
      <c r="F687" s="179"/>
      <c r="G687" s="194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</row>
    <row r="688">
      <c r="A688" s="179"/>
      <c r="B688" s="179"/>
      <c r="C688" s="179"/>
      <c r="D688" s="179"/>
      <c r="E688" s="179"/>
      <c r="F688" s="179"/>
      <c r="G688" s="194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</row>
    <row r="689">
      <c r="A689" s="179"/>
      <c r="B689" s="179"/>
      <c r="C689" s="179"/>
      <c r="D689" s="179"/>
      <c r="E689" s="179"/>
      <c r="F689" s="179"/>
      <c r="G689" s="194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</row>
    <row r="690">
      <c r="A690" s="179"/>
      <c r="B690" s="179"/>
      <c r="C690" s="179"/>
      <c r="D690" s="179"/>
      <c r="E690" s="179"/>
      <c r="F690" s="179"/>
      <c r="G690" s="194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</row>
    <row r="691">
      <c r="A691" s="179"/>
      <c r="B691" s="179"/>
      <c r="C691" s="179"/>
      <c r="D691" s="179"/>
      <c r="E691" s="179"/>
      <c r="F691" s="179"/>
      <c r="G691" s="194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</row>
    <row r="692">
      <c r="A692" s="179"/>
      <c r="B692" s="179"/>
      <c r="C692" s="179"/>
      <c r="D692" s="179"/>
      <c r="E692" s="179"/>
      <c r="F692" s="179"/>
      <c r="G692" s="194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</row>
    <row r="693">
      <c r="A693" s="179"/>
      <c r="B693" s="179"/>
      <c r="C693" s="179"/>
      <c r="D693" s="179"/>
      <c r="E693" s="179"/>
      <c r="F693" s="179"/>
      <c r="G693" s="194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</row>
    <row r="694">
      <c r="A694" s="179"/>
      <c r="B694" s="179"/>
      <c r="C694" s="179"/>
      <c r="D694" s="179"/>
      <c r="E694" s="179"/>
      <c r="F694" s="179"/>
      <c r="G694" s="194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</row>
    <row r="695">
      <c r="A695" s="179"/>
      <c r="B695" s="179"/>
      <c r="C695" s="179"/>
      <c r="D695" s="179"/>
      <c r="E695" s="179"/>
      <c r="F695" s="179"/>
      <c r="G695" s="194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</row>
    <row r="696">
      <c r="A696" s="179"/>
      <c r="B696" s="179"/>
      <c r="C696" s="179"/>
      <c r="D696" s="179"/>
      <c r="E696" s="179"/>
      <c r="F696" s="179"/>
      <c r="G696" s="194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</row>
    <row r="697">
      <c r="A697" s="179"/>
      <c r="B697" s="179"/>
      <c r="C697" s="179"/>
      <c r="D697" s="179"/>
      <c r="E697" s="179"/>
      <c r="F697" s="179"/>
      <c r="G697" s="194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</row>
    <row r="698">
      <c r="A698" s="179"/>
      <c r="B698" s="179"/>
      <c r="C698" s="179"/>
      <c r="D698" s="179"/>
      <c r="E698" s="179"/>
      <c r="F698" s="179"/>
      <c r="G698" s="194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</row>
    <row r="699">
      <c r="A699" s="179"/>
      <c r="B699" s="179"/>
      <c r="C699" s="179"/>
      <c r="D699" s="179"/>
      <c r="E699" s="179"/>
      <c r="F699" s="179"/>
      <c r="G699" s="194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</row>
    <row r="700">
      <c r="A700" s="179"/>
      <c r="B700" s="179"/>
      <c r="C700" s="179"/>
      <c r="D700" s="179"/>
      <c r="E700" s="179"/>
      <c r="F700" s="179"/>
      <c r="G700" s="194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</row>
    <row r="701">
      <c r="A701" s="179"/>
      <c r="B701" s="179"/>
      <c r="C701" s="179"/>
      <c r="D701" s="179"/>
      <c r="E701" s="179"/>
      <c r="F701" s="179"/>
      <c r="G701" s="194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</row>
    <row r="702">
      <c r="A702" s="179"/>
      <c r="B702" s="179"/>
      <c r="C702" s="179"/>
      <c r="D702" s="179"/>
      <c r="E702" s="179"/>
      <c r="F702" s="179"/>
      <c r="G702" s="194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</row>
    <row r="703">
      <c r="A703" s="179"/>
      <c r="B703" s="179"/>
      <c r="C703" s="179"/>
      <c r="D703" s="179"/>
      <c r="E703" s="179"/>
      <c r="F703" s="179"/>
      <c r="G703" s="194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</row>
    <row r="704">
      <c r="A704" s="179"/>
      <c r="B704" s="179"/>
      <c r="C704" s="179"/>
      <c r="D704" s="179"/>
      <c r="E704" s="179"/>
      <c r="F704" s="179"/>
      <c r="G704" s="194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</row>
    <row r="705">
      <c r="A705" s="179"/>
      <c r="B705" s="179"/>
      <c r="C705" s="179"/>
      <c r="D705" s="179"/>
      <c r="E705" s="179"/>
      <c r="F705" s="179"/>
      <c r="G705" s="194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</row>
    <row r="706">
      <c r="A706" s="179"/>
      <c r="B706" s="179"/>
      <c r="C706" s="179"/>
      <c r="D706" s="179"/>
      <c r="E706" s="179"/>
      <c r="F706" s="179"/>
      <c r="G706" s="194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</row>
    <row r="707">
      <c r="A707" s="179"/>
      <c r="B707" s="179"/>
      <c r="C707" s="179"/>
      <c r="D707" s="179"/>
      <c r="E707" s="179"/>
      <c r="F707" s="179"/>
      <c r="G707" s="194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</row>
    <row r="708">
      <c r="A708" s="179"/>
      <c r="B708" s="179"/>
      <c r="C708" s="179"/>
      <c r="D708" s="179"/>
      <c r="E708" s="179"/>
      <c r="F708" s="179"/>
      <c r="G708" s="194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</row>
    <row r="709">
      <c r="A709" s="179"/>
      <c r="B709" s="179"/>
      <c r="C709" s="179"/>
      <c r="D709" s="179"/>
      <c r="E709" s="179"/>
      <c r="F709" s="179"/>
      <c r="G709" s="194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</row>
    <row r="710">
      <c r="A710" s="179"/>
      <c r="B710" s="179"/>
      <c r="C710" s="179"/>
      <c r="D710" s="179"/>
      <c r="E710" s="179"/>
      <c r="F710" s="179"/>
      <c r="G710" s="194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</row>
    <row r="711">
      <c r="A711" s="179"/>
      <c r="B711" s="179"/>
      <c r="C711" s="179"/>
      <c r="D711" s="179"/>
      <c r="E711" s="179"/>
      <c r="F711" s="179"/>
      <c r="G711" s="194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</row>
    <row r="712">
      <c r="A712" s="179"/>
      <c r="B712" s="179"/>
      <c r="C712" s="179"/>
      <c r="D712" s="179"/>
      <c r="E712" s="179"/>
      <c r="F712" s="179"/>
      <c r="G712" s="194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</row>
    <row r="713">
      <c r="A713" s="179"/>
      <c r="B713" s="179"/>
      <c r="C713" s="179"/>
      <c r="D713" s="179"/>
      <c r="E713" s="179"/>
      <c r="F713" s="179"/>
      <c r="G713" s="194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</row>
    <row r="714">
      <c r="A714" s="179"/>
      <c r="B714" s="179"/>
      <c r="C714" s="179"/>
      <c r="D714" s="179"/>
      <c r="E714" s="179"/>
      <c r="F714" s="179"/>
      <c r="G714" s="194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</row>
    <row r="715">
      <c r="A715" s="179"/>
      <c r="B715" s="179"/>
      <c r="C715" s="179"/>
      <c r="D715" s="179"/>
      <c r="E715" s="179"/>
      <c r="F715" s="179"/>
      <c r="G715" s="194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</row>
    <row r="716">
      <c r="A716" s="179"/>
      <c r="B716" s="179"/>
      <c r="C716" s="179"/>
      <c r="D716" s="179"/>
      <c r="E716" s="179"/>
      <c r="F716" s="179"/>
      <c r="G716" s="194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</row>
    <row r="717">
      <c r="A717" s="179"/>
      <c r="B717" s="179"/>
      <c r="C717" s="179"/>
      <c r="D717" s="179"/>
      <c r="E717" s="179"/>
      <c r="F717" s="179"/>
      <c r="G717" s="194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</row>
    <row r="718">
      <c r="A718" s="179"/>
      <c r="B718" s="179"/>
      <c r="C718" s="179"/>
      <c r="D718" s="179"/>
      <c r="E718" s="179"/>
      <c r="F718" s="179"/>
      <c r="G718" s="194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</row>
    <row r="719">
      <c r="A719" s="179"/>
      <c r="B719" s="179"/>
      <c r="C719" s="179"/>
      <c r="D719" s="179"/>
      <c r="E719" s="179"/>
      <c r="F719" s="179"/>
      <c r="G719" s="194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</row>
    <row r="720">
      <c r="A720" s="179"/>
      <c r="B720" s="179"/>
      <c r="C720" s="179"/>
      <c r="D720" s="179"/>
      <c r="E720" s="179"/>
      <c r="F720" s="179"/>
      <c r="G720" s="194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</row>
    <row r="721">
      <c r="A721" s="179"/>
      <c r="B721" s="179"/>
      <c r="C721" s="179"/>
      <c r="D721" s="179"/>
      <c r="E721" s="179"/>
      <c r="F721" s="179"/>
      <c r="G721" s="194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</row>
    <row r="722">
      <c r="A722" s="179"/>
      <c r="B722" s="179"/>
      <c r="C722" s="179"/>
      <c r="D722" s="179"/>
      <c r="E722" s="179"/>
      <c r="F722" s="179"/>
      <c r="G722" s="194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</row>
    <row r="723">
      <c r="A723" s="179"/>
      <c r="B723" s="179"/>
      <c r="C723" s="179"/>
      <c r="D723" s="179"/>
      <c r="E723" s="179"/>
      <c r="F723" s="179"/>
      <c r="G723" s="194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</row>
    <row r="724">
      <c r="A724" s="179"/>
      <c r="B724" s="179"/>
      <c r="C724" s="179"/>
      <c r="D724" s="179"/>
      <c r="E724" s="179"/>
      <c r="F724" s="179"/>
      <c r="G724" s="194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</row>
    <row r="725">
      <c r="A725" s="179"/>
      <c r="B725" s="179"/>
      <c r="C725" s="179"/>
      <c r="D725" s="179"/>
      <c r="E725" s="179"/>
      <c r="F725" s="179"/>
      <c r="G725" s="194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</row>
    <row r="726">
      <c r="A726" s="179"/>
      <c r="B726" s="179"/>
      <c r="C726" s="179"/>
      <c r="D726" s="179"/>
      <c r="E726" s="179"/>
      <c r="F726" s="179"/>
      <c r="G726" s="194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</row>
    <row r="727">
      <c r="A727" s="179"/>
      <c r="B727" s="179"/>
      <c r="C727" s="179"/>
      <c r="D727" s="179"/>
      <c r="E727" s="179"/>
      <c r="F727" s="179"/>
      <c r="G727" s="194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</row>
    <row r="728">
      <c r="A728" s="179"/>
      <c r="B728" s="179"/>
      <c r="C728" s="179"/>
      <c r="D728" s="179"/>
      <c r="E728" s="179"/>
      <c r="F728" s="179"/>
      <c r="G728" s="194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</row>
    <row r="729">
      <c r="A729" s="179"/>
      <c r="B729" s="179"/>
      <c r="C729" s="179"/>
      <c r="D729" s="179"/>
      <c r="E729" s="179"/>
      <c r="F729" s="179"/>
      <c r="G729" s="194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</row>
    <row r="730">
      <c r="A730" s="179"/>
      <c r="B730" s="179"/>
      <c r="C730" s="179"/>
      <c r="D730" s="179"/>
      <c r="E730" s="179"/>
      <c r="F730" s="179"/>
      <c r="G730" s="194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</row>
    <row r="731">
      <c r="A731" s="179"/>
      <c r="B731" s="179"/>
      <c r="C731" s="179"/>
      <c r="D731" s="179"/>
      <c r="E731" s="179"/>
      <c r="F731" s="179"/>
      <c r="G731" s="194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</row>
    <row r="732">
      <c r="A732" s="179"/>
      <c r="B732" s="179"/>
      <c r="C732" s="179"/>
      <c r="D732" s="179"/>
      <c r="E732" s="179"/>
      <c r="F732" s="179"/>
      <c r="G732" s="194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</row>
    <row r="733">
      <c r="A733" s="179"/>
      <c r="B733" s="179"/>
      <c r="C733" s="179"/>
      <c r="D733" s="179"/>
      <c r="E733" s="179"/>
      <c r="F733" s="179"/>
      <c r="G733" s="194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</row>
    <row r="734">
      <c r="A734" s="179"/>
      <c r="B734" s="179"/>
      <c r="C734" s="179"/>
      <c r="D734" s="179"/>
      <c r="E734" s="179"/>
      <c r="F734" s="179"/>
      <c r="G734" s="194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</row>
    <row r="735">
      <c r="A735" s="179"/>
      <c r="B735" s="179"/>
      <c r="C735" s="179"/>
      <c r="D735" s="179"/>
      <c r="E735" s="179"/>
      <c r="F735" s="179"/>
      <c r="G735" s="194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</row>
    <row r="736">
      <c r="A736" s="179"/>
      <c r="B736" s="179"/>
      <c r="C736" s="179"/>
      <c r="D736" s="179"/>
      <c r="E736" s="179"/>
      <c r="F736" s="179"/>
      <c r="G736" s="194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</row>
    <row r="737">
      <c r="A737" s="179"/>
      <c r="B737" s="179"/>
      <c r="C737" s="179"/>
      <c r="D737" s="179"/>
      <c r="E737" s="179"/>
      <c r="F737" s="179"/>
      <c r="G737" s="194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</row>
    <row r="738">
      <c r="A738" s="179"/>
      <c r="B738" s="179"/>
      <c r="C738" s="179"/>
      <c r="D738" s="179"/>
      <c r="E738" s="179"/>
      <c r="F738" s="179"/>
      <c r="G738" s="194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</row>
    <row r="739">
      <c r="A739" s="179"/>
      <c r="B739" s="179"/>
      <c r="C739" s="179"/>
      <c r="D739" s="179"/>
      <c r="E739" s="179"/>
      <c r="F739" s="179"/>
      <c r="G739" s="194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</row>
    <row r="740">
      <c r="A740" s="179"/>
      <c r="B740" s="179"/>
      <c r="C740" s="179"/>
      <c r="D740" s="179"/>
      <c r="E740" s="179"/>
      <c r="F740" s="179"/>
      <c r="G740" s="194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</row>
    <row r="741">
      <c r="A741" s="179"/>
      <c r="B741" s="179"/>
      <c r="C741" s="179"/>
      <c r="D741" s="179"/>
      <c r="E741" s="179"/>
      <c r="F741" s="179"/>
      <c r="G741" s="194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</row>
    <row r="742">
      <c r="A742" s="179"/>
      <c r="B742" s="179"/>
      <c r="C742" s="179"/>
      <c r="D742" s="179"/>
      <c r="E742" s="179"/>
      <c r="F742" s="179"/>
      <c r="G742" s="194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</row>
    <row r="743">
      <c r="A743" s="179"/>
      <c r="B743" s="179"/>
      <c r="C743" s="179"/>
      <c r="D743" s="179"/>
      <c r="E743" s="179"/>
      <c r="F743" s="179"/>
      <c r="G743" s="194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</row>
    <row r="744">
      <c r="A744" s="179"/>
      <c r="B744" s="179"/>
      <c r="C744" s="179"/>
      <c r="D744" s="179"/>
      <c r="E744" s="179"/>
      <c r="F744" s="179"/>
      <c r="G744" s="194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</row>
    <row r="745">
      <c r="A745" s="179"/>
      <c r="B745" s="179"/>
      <c r="C745" s="179"/>
      <c r="D745" s="179"/>
      <c r="E745" s="179"/>
      <c r="F745" s="179"/>
      <c r="G745" s="194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</row>
    <row r="746">
      <c r="A746" s="179"/>
      <c r="B746" s="179"/>
      <c r="C746" s="179"/>
      <c r="D746" s="179"/>
      <c r="E746" s="179"/>
      <c r="F746" s="179"/>
      <c r="G746" s="194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</row>
    <row r="747">
      <c r="A747" s="179"/>
      <c r="B747" s="179"/>
      <c r="C747" s="179"/>
      <c r="D747" s="179"/>
      <c r="E747" s="179"/>
      <c r="F747" s="179"/>
      <c r="G747" s="194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</row>
    <row r="748">
      <c r="A748" s="179"/>
      <c r="B748" s="179"/>
      <c r="C748" s="179"/>
      <c r="D748" s="179"/>
      <c r="E748" s="179"/>
      <c r="F748" s="179"/>
      <c r="G748" s="194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</row>
    <row r="749">
      <c r="A749" s="179"/>
      <c r="B749" s="179"/>
      <c r="C749" s="179"/>
      <c r="D749" s="179"/>
      <c r="E749" s="179"/>
      <c r="F749" s="179"/>
      <c r="G749" s="194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</row>
    <row r="750">
      <c r="A750" s="179"/>
      <c r="B750" s="179"/>
      <c r="C750" s="179"/>
      <c r="D750" s="179"/>
      <c r="E750" s="179"/>
      <c r="F750" s="179"/>
      <c r="G750" s="194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</row>
    <row r="751">
      <c r="A751" s="179"/>
      <c r="B751" s="179"/>
      <c r="C751" s="179"/>
      <c r="D751" s="179"/>
      <c r="E751" s="179"/>
      <c r="F751" s="179"/>
      <c r="G751" s="194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</row>
    <row r="752">
      <c r="A752" s="179"/>
      <c r="B752" s="179"/>
      <c r="C752" s="179"/>
      <c r="D752" s="179"/>
      <c r="E752" s="179"/>
      <c r="F752" s="179"/>
      <c r="G752" s="194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</row>
    <row r="753">
      <c r="A753" s="179"/>
      <c r="B753" s="179"/>
      <c r="C753" s="179"/>
      <c r="D753" s="179"/>
      <c r="E753" s="179"/>
      <c r="F753" s="179"/>
      <c r="G753" s="194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</row>
    <row r="754">
      <c r="A754" s="179"/>
      <c r="B754" s="179"/>
      <c r="C754" s="179"/>
      <c r="D754" s="179"/>
      <c r="E754" s="179"/>
      <c r="F754" s="179"/>
      <c r="G754" s="194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</row>
    <row r="755">
      <c r="A755" s="179"/>
      <c r="B755" s="179"/>
      <c r="C755" s="179"/>
      <c r="D755" s="179"/>
      <c r="E755" s="179"/>
      <c r="F755" s="179"/>
      <c r="G755" s="194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</row>
    <row r="756">
      <c r="A756" s="179"/>
      <c r="B756" s="179"/>
      <c r="C756" s="179"/>
      <c r="D756" s="179"/>
      <c r="E756" s="179"/>
      <c r="F756" s="179"/>
      <c r="G756" s="194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</row>
    <row r="757">
      <c r="A757" s="179"/>
      <c r="B757" s="179"/>
      <c r="C757" s="179"/>
      <c r="D757" s="179"/>
      <c r="E757" s="179"/>
      <c r="F757" s="179"/>
      <c r="G757" s="194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</row>
    <row r="758">
      <c r="A758" s="179"/>
      <c r="B758" s="179"/>
      <c r="C758" s="179"/>
      <c r="D758" s="179"/>
      <c r="E758" s="179"/>
      <c r="F758" s="179"/>
      <c r="G758" s="194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</row>
    <row r="759">
      <c r="A759" s="179"/>
      <c r="B759" s="179"/>
      <c r="C759" s="179"/>
      <c r="D759" s="179"/>
      <c r="E759" s="179"/>
      <c r="F759" s="179"/>
      <c r="G759" s="194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</row>
    <row r="760">
      <c r="A760" s="179"/>
      <c r="B760" s="179"/>
      <c r="C760" s="179"/>
      <c r="D760" s="179"/>
      <c r="E760" s="179"/>
      <c r="F760" s="179"/>
      <c r="G760" s="194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</row>
    <row r="761">
      <c r="A761" s="179"/>
      <c r="B761" s="179"/>
      <c r="C761" s="179"/>
      <c r="D761" s="179"/>
      <c r="E761" s="179"/>
      <c r="F761" s="179"/>
      <c r="G761" s="194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</row>
    <row r="762">
      <c r="A762" s="179"/>
      <c r="B762" s="179"/>
      <c r="C762" s="179"/>
      <c r="D762" s="179"/>
      <c r="E762" s="179"/>
      <c r="F762" s="179"/>
      <c r="G762" s="194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</row>
    <row r="763">
      <c r="A763" s="179"/>
      <c r="B763" s="179"/>
      <c r="C763" s="179"/>
      <c r="D763" s="179"/>
      <c r="E763" s="179"/>
      <c r="F763" s="179"/>
      <c r="G763" s="194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</row>
    <row r="764">
      <c r="A764" s="179"/>
      <c r="B764" s="179"/>
      <c r="C764" s="179"/>
      <c r="D764" s="179"/>
      <c r="E764" s="179"/>
      <c r="F764" s="179"/>
      <c r="G764" s="194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</row>
    <row r="765">
      <c r="A765" s="179"/>
      <c r="B765" s="179"/>
      <c r="C765" s="179"/>
      <c r="D765" s="179"/>
      <c r="E765" s="179"/>
      <c r="F765" s="179"/>
      <c r="G765" s="194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</row>
    <row r="766">
      <c r="A766" s="179"/>
      <c r="B766" s="179"/>
      <c r="C766" s="179"/>
      <c r="D766" s="179"/>
      <c r="E766" s="179"/>
      <c r="F766" s="179"/>
      <c r="G766" s="194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</row>
    <row r="767">
      <c r="A767" s="179"/>
      <c r="B767" s="179"/>
      <c r="C767" s="179"/>
      <c r="D767" s="179"/>
      <c r="E767" s="179"/>
      <c r="F767" s="179"/>
      <c r="G767" s="194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</row>
    <row r="768">
      <c r="A768" s="179"/>
      <c r="B768" s="179"/>
      <c r="C768" s="179"/>
      <c r="D768" s="179"/>
      <c r="E768" s="179"/>
      <c r="F768" s="179"/>
      <c r="G768" s="194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</row>
    <row r="769">
      <c r="A769" s="179"/>
      <c r="B769" s="179"/>
      <c r="C769" s="179"/>
      <c r="D769" s="179"/>
      <c r="E769" s="179"/>
      <c r="F769" s="179"/>
      <c r="G769" s="194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</row>
    <row r="770">
      <c r="A770" s="179"/>
      <c r="B770" s="179"/>
      <c r="C770" s="179"/>
      <c r="D770" s="179"/>
      <c r="E770" s="179"/>
      <c r="F770" s="179"/>
      <c r="G770" s="194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</row>
    <row r="771">
      <c r="A771" s="179"/>
      <c r="B771" s="179"/>
      <c r="C771" s="179"/>
      <c r="D771" s="179"/>
      <c r="E771" s="179"/>
      <c r="F771" s="179"/>
      <c r="G771" s="194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</row>
    <row r="772">
      <c r="A772" s="179"/>
      <c r="B772" s="179"/>
      <c r="C772" s="179"/>
      <c r="D772" s="179"/>
      <c r="E772" s="179"/>
      <c r="F772" s="179"/>
      <c r="G772" s="194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</row>
    <row r="773">
      <c r="A773" s="179"/>
      <c r="B773" s="179"/>
      <c r="C773" s="179"/>
      <c r="D773" s="179"/>
      <c r="E773" s="179"/>
      <c r="F773" s="179"/>
      <c r="G773" s="194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</row>
    <row r="774">
      <c r="A774" s="179"/>
      <c r="B774" s="179"/>
      <c r="C774" s="179"/>
      <c r="D774" s="179"/>
      <c r="E774" s="179"/>
      <c r="F774" s="179"/>
      <c r="G774" s="194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</row>
    <row r="775">
      <c r="A775" s="179"/>
      <c r="B775" s="179"/>
      <c r="C775" s="179"/>
      <c r="D775" s="179"/>
      <c r="E775" s="179"/>
      <c r="F775" s="179"/>
      <c r="G775" s="194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</row>
    <row r="776">
      <c r="A776" s="179"/>
      <c r="B776" s="179"/>
      <c r="C776" s="179"/>
      <c r="D776" s="179"/>
      <c r="E776" s="179"/>
      <c r="F776" s="179"/>
      <c r="G776" s="194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</row>
    <row r="777">
      <c r="A777" s="179"/>
      <c r="B777" s="179"/>
      <c r="C777" s="179"/>
      <c r="D777" s="179"/>
      <c r="E777" s="179"/>
      <c r="F777" s="179"/>
      <c r="G777" s="194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</row>
    <row r="778">
      <c r="A778" s="179"/>
      <c r="B778" s="179"/>
      <c r="C778" s="179"/>
      <c r="D778" s="179"/>
      <c r="E778" s="179"/>
      <c r="F778" s="179"/>
      <c r="G778" s="194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</row>
    <row r="779">
      <c r="A779" s="179"/>
      <c r="B779" s="179"/>
      <c r="C779" s="179"/>
      <c r="D779" s="179"/>
      <c r="E779" s="179"/>
      <c r="F779" s="179"/>
      <c r="G779" s="194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</row>
    <row r="780">
      <c r="A780" s="179"/>
      <c r="B780" s="179"/>
      <c r="C780" s="179"/>
      <c r="D780" s="179"/>
      <c r="E780" s="179"/>
      <c r="F780" s="179"/>
      <c r="G780" s="194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</row>
    <row r="781">
      <c r="A781" s="179"/>
      <c r="B781" s="179"/>
      <c r="C781" s="179"/>
      <c r="D781" s="179"/>
      <c r="E781" s="179"/>
      <c r="F781" s="179"/>
      <c r="G781" s="194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</row>
    <row r="782">
      <c r="A782" s="179"/>
      <c r="B782" s="179"/>
      <c r="C782" s="179"/>
      <c r="D782" s="179"/>
      <c r="E782" s="179"/>
      <c r="F782" s="179"/>
      <c r="G782" s="194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</row>
    <row r="783">
      <c r="A783" s="179"/>
      <c r="B783" s="179"/>
      <c r="C783" s="179"/>
      <c r="D783" s="179"/>
      <c r="E783" s="179"/>
      <c r="F783" s="179"/>
      <c r="G783" s="194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</row>
    <row r="784">
      <c r="A784" s="179"/>
      <c r="B784" s="179"/>
      <c r="C784" s="179"/>
      <c r="D784" s="179"/>
      <c r="E784" s="179"/>
      <c r="F784" s="179"/>
      <c r="G784" s="194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</row>
    <row r="785">
      <c r="A785" s="179"/>
      <c r="B785" s="179"/>
      <c r="C785" s="179"/>
      <c r="D785" s="179"/>
      <c r="E785" s="179"/>
      <c r="F785" s="179"/>
      <c r="G785" s="194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</row>
    <row r="786">
      <c r="A786" s="179"/>
      <c r="B786" s="179"/>
      <c r="C786" s="179"/>
      <c r="D786" s="179"/>
      <c r="E786" s="179"/>
      <c r="F786" s="179"/>
      <c r="G786" s="194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</row>
    <row r="787">
      <c r="A787" s="179"/>
      <c r="B787" s="179"/>
      <c r="C787" s="179"/>
      <c r="D787" s="179"/>
      <c r="E787" s="179"/>
      <c r="F787" s="179"/>
      <c r="G787" s="194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</row>
    <row r="788">
      <c r="A788" s="179"/>
      <c r="B788" s="179"/>
      <c r="C788" s="179"/>
      <c r="D788" s="179"/>
      <c r="E788" s="179"/>
      <c r="F788" s="179"/>
      <c r="G788" s="194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</row>
    <row r="789">
      <c r="A789" s="179"/>
      <c r="B789" s="179"/>
      <c r="C789" s="179"/>
      <c r="D789" s="179"/>
      <c r="E789" s="179"/>
      <c r="F789" s="179"/>
      <c r="G789" s="194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</row>
    <row r="790">
      <c r="A790" s="179"/>
      <c r="B790" s="179"/>
      <c r="C790" s="179"/>
      <c r="D790" s="179"/>
      <c r="E790" s="179"/>
      <c r="F790" s="179"/>
      <c r="G790" s="194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</row>
    <row r="791">
      <c r="A791" s="179"/>
      <c r="B791" s="179"/>
      <c r="C791" s="179"/>
      <c r="D791" s="179"/>
      <c r="E791" s="179"/>
      <c r="F791" s="179"/>
      <c r="G791" s="194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</row>
    <row r="792">
      <c r="A792" s="179"/>
      <c r="B792" s="179"/>
      <c r="C792" s="179"/>
      <c r="D792" s="179"/>
      <c r="E792" s="179"/>
      <c r="F792" s="179"/>
      <c r="G792" s="194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</row>
    <row r="793">
      <c r="A793" s="179"/>
      <c r="B793" s="179"/>
      <c r="C793" s="179"/>
      <c r="D793" s="179"/>
      <c r="E793" s="179"/>
      <c r="F793" s="179"/>
      <c r="G793" s="194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</row>
    <row r="794">
      <c r="A794" s="179"/>
      <c r="B794" s="179"/>
      <c r="C794" s="179"/>
      <c r="D794" s="179"/>
      <c r="E794" s="179"/>
      <c r="F794" s="179"/>
      <c r="G794" s="194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</row>
    <row r="795">
      <c r="A795" s="179"/>
      <c r="B795" s="179"/>
      <c r="C795" s="179"/>
      <c r="D795" s="179"/>
      <c r="E795" s="179"/>
      <c r="F795" s="179"/>
      <c r="G795" s="194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</row>
    <row r="796">
      <c r="A796" s="179"/>
      <c r="B796" s="179"/>
      <c r="C796" s="179"/>
      <c r="D796" s="179"/>
      <c r="E796" s="179"/>
      <c r="F796" s="179"/>
      <c r="G796" s="194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</row>
    <row r="797">
      <c r="A797" s="179"/>
      <c r="B797" s="179"/>
      <c r="C797" s="179"/>
      <c r="D797" s="179"/>
      <c r="E797" s="179"/>
      <c r="F797" s="179"/>
      <c r="G797" s="194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</row>
    <row r="798">
      <c r="A798" s="179"/>
      <c r="B798" s="179"/>
      <c r="C798" s="179"/>
      <c r="D798" s="179"/>
      <c r="E798" s="179"/>
      <c r="F798" s="179"/>
      <c r="G798" s="194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</row>
    <row r="799">
      <c r="A799" s="179"/>
      <c r="B799" s="179"/>
      <c r="C799" s="179"/>
      <c r="D799" s="179"/>
      <c r="E799" s="179"/>
      <c r="F799" s="179"/>
      <c r="G799" s="194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</row>
    <row r="800">
      <c r="A800" s="179"/>
      <c r="B800" s="179"/>
      <c r="C800" s="179"/>
      <c r="D800" s="179"/>
      <c r="E800" s="179"/>
      <c r="F800" s="179"/>
      <c r="G800" s="194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</row>
    <row r="801">
      <c r="A801" s="179"/>
      <c r="B801" s="179"/>
      <c r="C801" s="179"/>
      <c r="D801" s="179"/>
      <c r="E801" s="179"/>
      <c r="F801" s="179"/>
      <c r="G801" s="194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</row>
    <row r="802">
      <c r="A802" s="179"/>
      <c r="B802" s="179"/>
      <c r="C802" s="179"/>
      <c r="D802" s="179"/>
      <c r="E802" s="179"/>
      <c r="F802" s="179"/>
      <c r="G802" s="194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</row>
    <row r="803">
      <c r="A803" s="179"/>
      <c r="B803" s="179"/>
      <c r="C803" s="179"/>
      <c r="D803" s="179"/>
      <c r="E803" s="179"/>
      <c r="F803" s="179"/>
      <c r="G803" s="194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</row>
    <row r="804">
      <c r="A804" s="179"/>
      <c r="B804" s="179"/>
      <c r="C804" s="179"/>
      <c r="D804" s="179"/>
      <c r="E804" s="179"/>
      <c r="F804" s="179"/>
      <c r="G804" s="194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</row>
    <row r="805">
      <c r="A805" s="179"/>
      <c r="B805" s="179"/>
      <c r="C805" s="179"/>
      <c r="D805" s="179"/>
      <c r="E805" s="179"/>
      <c r="F805" s="179"/>
      <c r="G805" s="194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</row>
    <row r="806">
      <c r="A806" s="179"/>
      <c r="B806" s="179"/>
      <c r="C806" s="179"/>
      <c r="D806" s="179"/>
      <c r="E806" s="179"/>
      <c r="F806" s="179"/>
      <c r="G806" s="194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</row>
    <row r="807">
      <c r="A807" s="179"/>
      <c r="B807" s="179"/>
      <c r="C807" s="179"/>
      <c r="D807" s="179"/>
      <c r="E807" s="179"/>
      <c r="F807" s="179"/>
      <c r="G807" s="194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</row>
    <row r="808">
      <c r="A808" s="179"/>
      <c r="B808" s="179"/>
      <c r="C808" s="179"/>
      <c r="D808" s="179"/>
      <c r="E808" s="179"/>
      <c r="F808" s="179"/>
      <c r="G808" s="194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</row>
    <row r="809">
      <c r="A809" s="179"/>
      <c r="B809" s="179"/>
      <c r="C809" s="179"/>
      <c r="D809" s="179"/>
      <c r="E809" s="179"/>
      <c r="F809" s="179"/>
      <c r="G809" s="194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</row>
    <row r="810">
      <c r="A810" s="179"/>
      <c r="B810" s="179"/>
      <c r="C810" s="179"/>
      <c r="D810" s="179"/>
      <c r="E810" s="179"/>
      <c r="F810" s="179"/>
      <c r="G810" s="194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</row>
    <row r="811">
      <c r="A811" s="179"/>
      <c r="B811" s="179"/>
      <c r="C811" s="179"/>
      <c r="D811" s="179"/>
      <c r="E811" s="179"/>
      <c r="F811" s="179"/>
      <c r="G811" s="194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</row>
    <row r="812">
      <c r="A812" s="179"/>
      <c r="B812" s="179"/>
      <c r="C812" s="179"/>
      <c r="D812" s="179"/>
      <c r="E812" s="179"/>
      <c r="F812" s="179"/>
      <c r="G812" s="194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</row>
    <row r="813">
      <c r="A813" s="179"/>
      <c r="B813" s="179"/>
      <c r="C813" s="179"/>
      <c r="D813" s="179"/>
      <c r="E813" s="179"/>
      <c r="F813" s="179"/>
      <c r="G813" s="194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</row>
    <row r="814">
      <c r="A814" s="179"/>
      <c r="B814" s="179"/>
      <c r="C814" s="179"/>
      <c r="D814" s="179"/>
      <c r="E814" s="179"/>
      <c r="F814" s="179"/>
      <c r="G814" s="194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</row>
    <row r="815">
      <c r="A815" s="179"/>
      <c r="B815" s="179"/>
      <c r="C815" s="179"/>
      <c r="D815" s="179"/>
      <c r="E815" s="179"/>
      <c r="F815" s="179"/>
      <c r="G815" s="194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</row>
    <row r="816">
      <c r="A816" s="179"/>
      <c r="B816" s="179"/>
      <c r="C816" s="179"/>
      <c r="D816" s="179"/>
      <c r="E816" s="179"/>
      <c r="F816" s="179"/>
      <c r="G816" s="194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</row>
    <row r="817">
      <c r="A817" s="179"/>
      <c r="B817" s="179"/>
      <c r="C817" s="179"/>
      <c r="D817" s="179"/>
      <c r="E817" s="179"/>
      <c r="F817" s="179"/>
      <c r="G817" s="194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</row>
    <row r="818">
      <c r="A818" s="179"/>
      <c r="B818" s="179"/>
      <c r="C818" s="179"/>
      <c r="D818" s="179"/>
      <c r="E818" s="179"/>
      <c r="F818" s="179"/>
      <c r="G818" s="194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</row>
    <row r="819">
      <c r="A819" s="179"/>
      <c r="B819" s="179"/>
      <c r="C819" s="179"/>
      <c r="D819" s="179"/>
      <c r="E819" s="179"/>
      <c r="F819" s="179"/>
      <c r="G819" s="194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</row>
    <row r="820">
      <c r="A820" s="179"/>
      <c r="B820" s="179"/>
      <c r="C820" s="179"/>
      <c r="D820" s="179"/>
      <c r="E820" s="179"/>
      <c r="F820" s="179"/>
      <c r="G820" s="194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</row>
    <row r="821">
      <c r="A821" s="179"/>
      <c r="B821" s="179"/>
      <c r="C821" s="179"/>
      <c r="D821" s="179"/>
      <c r="E821" s="179"/>
      <c r="F821" s="179"/>
      <c r="G821" s="194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</row>
    <row r="822">
      <c r="A822" s="179"/>
      <c r="B822" s="179"/>
      <c r="C822" s="179"/>
      <c r="D822" s="179"/>
      <c r="E822" s="179"/>
      <c r="F822" s="179"/>
      <c r="G822" s="194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</row>
    <row r="823">
      <c r="A823" s="179"/>
      <c r="B823" s="179"/>
      <c r="C823" s="179"/>
      <c r="D823" s="179"/>
      <c r="E823" s="179"/>
      <c r="F823" s="179"/>
      <c r="G823" s="194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</row>
    <row r="824">
      <c r="A824" s="179"/>
      <c r="B824" s="179"/>
      <c r="C824" s="179"/>
      <c r="D824" s="179"/>
      <c r="E824" s="179"/>
      <c r="F824" s="179"/>
      <c r="G824" s="194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</row>
    <row r="825">
      <c r="A825" s="179"/>
      <c r="B825" s="179"/>
      <c r="C825" s="179"/>
      <c r="D825" s="179"/>
      <c r="E825" s="179"/>
      <c r="F825" s="179"/>
      <c r="G825" s="194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</row>
    <row r="826">
      <c r="A826" s="179"/>
      <c r="B826" s="179"/>
      <c r="C826" s="179"/>
      <c r="D826" s="179"/>
      <c r="E826" s="179"/>
      <c r="F826" s="179"/>
      <c r="G826" s="194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</row>
    <row r="827">
      <c r="A827" s="179"/>
      <c r="B827" s="179"/>
      <c r="C827" s="179"/>
      <c r="D827" s="179"/>
      <c r="E827" s="179"/>
      <c r="F827" s="179"/>
      <c r="G827" s="194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</row>
    <row r="828">
      <c r="A828" s="179"/>
      <c r="B828" s="179"/>
      <c r="C828" s="179"/>
      <c r="D828" s="179"/>
      <c r="E828" s="179"/>
      <c r="F828" s="179"/>
      <c r="G828" s="194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</row>
    <row r="829">
      <c r="A829" s="179"/>
      <c r="B829" s="179"/>
      <c r="C829" s="179"/>
      <c r="D829" s="179"/>
      <c r="E829" s="179"/>
      <c r="F829" s="179"/>
      <c r="G829" s="194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</row>
    <row r="830">
      <c r="A830" s="179"/>
      <c r="B830" s="179"/>
      <c r="C830" s="179"/>
      <c r="D830" s="179"/>
      <c r="E830" s="179"/>
      <c r="F830" s="179"/>
      <c r="G830" s="194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</row>
    <row r="831">
      <c r="A831" s="179"/>
      <c r="B831" s="179"/>
      <c r="C831" s="179"/>
      <c r="D831" s="179"/>
      <c r="E831" s="179"/>
      <c r="F831" s="179"/>
      <c r="G831" s="194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</row>
    <row r="832">
      <c r="A832" s="179"/>
      <c r="B832" s="179"/>
      <c r="C832" s="179"/>
      <c r="D832" s="179"/>
      <c r="E832" s="179"/>
      <c r="F832" s="179"/>
      <c r="G832" s="194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</row>
    <row r="833">
      <c r="A833" s="179"/>
      <c r="B833" s="179"/>
      <c r="C833" s="179"/>
      <c r="D833" s="179"/>
      <c r="E833" s="179"/>
      <c r="F833" s="179"/>
      <c r="G833" s="194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</row>
    <row r="834">
      <c r="A834" s="179"/>
      <c r="B834" s="179"/>
      <c r="C834" s="179"/>
      <c r="D834" s="179"/>
      <c r="E834" s="179"/>
      <c r="F834" s="179"/>
      <c r="G834" s="194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</row>
    <row r="835">
      <c r="A835" s="179"/>
      <c r="B835" s="179"/>
      <c r="C835" s="179"/>
      <c r="D835" s="179"/>
      <c r="E835" s="179"/>
      <c r="F835" s="179"/>
      <c r="G835" s="194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</row>
    <row r="836">
      <c r="A836" s="179"/>
      <c r="B836" s="179"/>
      <c r="C836" s="179"/>
      <c r="D836" s="179"/>
      <c r="E836" s="179"/>
      <c r="F836" s="179"/>
      <c r="G836" s="194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</row>
    <row r="837">
      <c r="A837" s="179"/>
      <c r="B837" s="179"/>
      <c r="C837" s="179"/>
      <c r="D837" s="179"/>
      <c r="E837" s="179"/>
      <c r="F837" s="179"/>
      <c r="G837" s="194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</row>
    <row r="838">
      <c r="A838" s="179"/>
      <c r="B838" s="179"/>
      <c r="C838" s="179"/>
      <c r="D838" s="179"/>
      <c r="E838" s="179"/>
      <c r="F838" s="179"/>
      <c r="G838" s="194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</row>
    <row r="839">
      <c r="A839" s="179"/>
      <c r="B839" s="179"/>
      <c r="C839" s="179"/>
      <c r="D839" s="179"/>
      <c r="E839" s="179"/>
      <c r="F839" s="179"/>
      <c r="G839" s="194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</row>
    <row r="840">
      <c r="A840" s="179"/>
      <c r="B840" s="179"/>
      <c r="C840" s="179"/>
      <c r="D840" s="179"/>
      <c r="E840" s="179"/>
      <c r="F840" s="179"/>
      <c r="G840" s="194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</row>
    <row r="841">
      <c r="A841" s="179"/>
      <c r="B841" s="179"/>
      <c r="C841" s="179"/>
      <c r="D841" s="179"/>
      <c r="E841" s="179"/>
      <c r="F841" s="179"/>
      <c r="G841" s="194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</row>
    <row r="842">
      <c r="A842" s="179"/>
      <c r="B842" s="179"/>
      <c r="C842" s="179"/>
      <c r="D842" s="179"/>
      <c r="E842" s="179"/>
      <c r="F842" s="179"/>
      <c r="G842" s="194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</row>
    <row r="843">
      <c r="A843" s="179"/>
      <c r="B843" s="179"/>
      <c r="C843" s="179"/>
      <c r="D843" s="179"/>
      <c r="E843" s="179"/>
      <c r="F843" s="179"/>
      <c r="G843" s="194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</row>
    <row r="844">
      <c r="A844" s="179"/>
      <c r="B844" s="179"/>
      <c r="C844" s="179"/>
      <c r="D844" s="179"/>
      <c r="E844" s="179"/>
      <c r="F844" s="179"/>
      <c r="G844" s="194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</row>
    <row r="845">
      <c r="A845" s="179"/>
      <c r="B845" s="179"/>
      <c r="C845" s="179"/>
      <c r="D845" s="179"/>
      <c r="E845" s="179"/>
      <c r="F845" s="179"/>
      <c r="G845" s="194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</row>
    <row r="846">
      <c r="A846" s="179"/>
      <c r="B846" s="179"/>
      <c r="C846" s="179"/>
      <c r="D846" s="179"/>
      <c r="E846" s="179"/>
      <c r="F846" s="179"/>
      <c r="G846" s="194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</row>
    <row r="847">
      <c r="A847" s="179"/>
      <c r="B847" s="179"/>
      <c r="C847" s="179"/>
      <c r="D847" s="179"/>
      <c r="E847" s="179"/>
      <c r="F847" s="179"/>
      <c r="G847" s="194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</row>
    <row r="848">
      <c r="A848" s="179"/>
      <c r="B848" s="179"/>
      <c r="C848" s="179"/>
      <c r="D848" s="179"/>
      <c r="E848" s="179"/>
      <c r="F848" s="179"/>
      <c r="G848" s="194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</row>
    <row r="849">
      <c r="A849" s="179"/>
      <c r="B849" s="179"/>
      <c r="C849" s="179"/>
      <c r="D849" s="179"/>
      <c r="E849" s="179"/>
      <c r="F849" s="179"/>
      <c r="G849" s="194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</row>
    <row r="850">
      <c r="A850" s="179"/>
      <c r="B850" s="179"/>
      <c r="C850" s="179"/>
      <c r="D850" s="179"/>
      <c r="E850" s="179"/>
      <c r="F850" s="179"/>
      <c r="G850" s="194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</row>
    <row r="851">
      <c r="A851" s="179"/>
      <c r="B851" s="179"/>
      <c r="C851" s="179"/>
      <c r="D851" s="179"/>
      <c r="E851" s="179"/>
      <c r="F851" s="179"/>
      <c r="G851" s="194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</row>
    <row r="852">
      <c r="A852" s="179"/>
      <c r="B852" s="179"/>
      <c r="C852" s="179"/>
      <c r="D852" s="179"/>
      <c r="E852" s="179"/>
      <c r="F852" s="179"/>
      <c r="G852" s="194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</row>
    <row r="853">
      <c r="A853" s="179"/>
      <c r="B853" s="179"/>
      <c r="C853" s="179"/>
      <c r="D853" s="179"/>
      <c r="E853" s="179"/>
      <c r="F853" s="179"/>
      <c r="G853" s="194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</row>
    <row r="854">
      <c r="A854" s="179"/>
      <c r="B854" s="179"/>
      <c r="C854" s="179"/>
      <c r="D854" s="179"/>
      <c r="E854" s="179"/>
      <c r="F854" s="179"/>
      <c r="G854" s="194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</row>
    <row r="855">
      <c r="A855" s="179"/>
      <c r="B855" s="179"/>
      <c r="C855" s="179"/>
      <c r="D855" s="179"/>
      <c r="E855" s="179"/>
      <c r="F855" s="179"/>
      <c r="G855" s="194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</row>
    <row r="856">
      <c r="A856" s="179"/>
      <c r="B856" s="179"/>
      <c r="C856" s="179"/>
      <c r="D856" s="179"/>
      <c r="E856" s="179"/>
      <c r="F856" s="179"/>
      <c r="G856" s="194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</row>
    <row r="857">
      <c r="A857" s="179"/>
      <c r="B857" s="179"/>
      <c r="C857" s="179"/>
      <c r="D857" s="179"/>
      <c r="E857" s="179"/>
      <c r="F857" s="179"/>
      <c r="G857" s="194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</row>
    <row r="858">
      <c r="A858" s="179"/>
      <c r="B858" s="179"/>
      <c r="C858" s="179"/>
      <c r="D858" s="179"/>
      <c r="E858" s="179"/>
      <c r="F858" s="179"/>
      <c r="G858" s="194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</row>
    <row r="859">
      <c r="A859" s="179"/>
      <c r="B859" s="179"/>
      <c r="C859" s="179"/>
      <c r="D859" s="179"/>
      <c r="E859" s="179"/>
      <c r="F859" s="179"/>
      <c r="G859" s="194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</row>
    <row r="860">
      <c r="A860" s="179"/>
      <c r="B860" s="179"/>
      <c r="C860" s="179"/>
      <c r="D860" s="179"/>
      <c r="E860" s="179"/>
      <c r="F860" s="179"/>
      <c r="G860" s="194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</row>
    <row r="861">
      <c r="A861" s="179"/>
      <c r="B861" s="179"/>
      <c r="C861" s="179"/>
      <c r="D861" s="179"/>
      <c r="E861" s="179"/>
      <c r="F861" s="179"/>
      <c r="G861" s="194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</row>
    <row r="862">
      <c r="A862" s="179"/>
      <c r="B862" s="179"/>
      <c r="C862" s="179"/>
      <c r="D862" s="179"/>
      <c r="E862" s="179"/>
      <c r="F862" s="179"/>
      <c r="G862" s="194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</row>
    <row r="863">
      <c r="A863" s="179"/>
      <c r="B863" s="179"/>
      <c r="C863" s="179"/>
      <c r="D863" s="179"/>
      <c r="E863" s="179"/>
      <c r="F863" s="179"/>
      <c r="G863" s="194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</row>
    <row r="864">
      <c r="A864" s="179"/>
      <c r="B864" s="179"/>
      <c r="C864" s="179"/>
      <c r="D864" s="179"/>
      <c r="E864" s="179"/>
      <c r="F864" s="179"/>
      <c r="G864" s="194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</row>
    <row r="865">
      <c r="A865" s="179"/>
      <c r="B865" s="179"/>
      <c r="C865" s="179"/>
      <c r="D865" s="179"/>
      <c r="E865" s="179"/>
      <c r="F865" s="179"/>
      <c r="G865" s="194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</row>
    <row r="866">
      <c r="A866" s="179"/>
      <c r="B866" s="179"/>
      <c r="C866" s="179"/>
      <c r="D866" s="179"/>
      <c r="E866" s="179"/>
      <c r="F866" s="179"/>
      <c r="G866" s="194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</row>
    <row r="867">
      <c r="A867" s="179"/>
      <c r="B867" s="179"/>
      <c r="C867" s="179"/>
      <c r="D867" s="179"/>
      <c r="E867" s="179"/>
      <c r="F867" s="179"/>
      <c r="G867" s="194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</row>
    <row r="868">
      <c r="A868" s="179"/>
      <c r="B868" s="179"/>
      <c r="C868" s="179"/>
      <c r="D868" s="179"/>
      <c r="E868" s="179"/>
      <c r="F868" s="179"/>
      <c r="G868" s="194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</row>
    <row r="869">
      <c r="A869" s="179"/>
      <c r="B869" s="179"/>
      <c r="C869" s="179"/>
      <c r="D869" s="179"/>
      <c r="E869" s="179"/>
      <c r="F869" s="179"/>
      <c r="G869" s="194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</row>
    <row r="870">
      <c r="A870" s="179"/>
      <c r="B870" s="179"/>
      <c r="C870" s="179"/>
      <c r="D870" s="179"/>
      <c r="E870" s="179"/>
      <c r="F870" s="179"/>
      <c r="G870" s="194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</row>
    <row r="871">
      <c r="A871" s="179"/>
      <c r="B871" s="179"/>
      <c r="C871" s="179"/>
      <c r="D871" s="179"/>
      <c r="E871" s="179"/>
      <c r="F871" s="179"/>
      <c r="G871" s="194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</row>
    <row r="872">
      <c r="A872" s="179"/>
      <c r="B872" s="179"/>
      <c r="C872" s="179"/>
      <c r="D872" s="179"/>
      <c r="E872" s="179"/>
      <c r="F872" s="179"/>
      <c r="G872" s="194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</row>
    <row r="873">
      <c r="A873" s="179"/>
      <c r="B873" s="179"/>
      <c r="C873" s="179"/>
      <c r="D873" s="179"/>
      <c r="E873" s="179"/>
      <c r="F873" s="179"/>
      <c r="G873" s="194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</row>
    <row r="874">
      <c r="A874" s="179"/>
      <c r="B874" s="179"/>
      <c r="C874" s="179"/>
      <c r="D874" s="179"/>
      <c r="E874" s="179"/>
      <c r="F874" s="179"/>
      <c r="G874" s="194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</row>
    <row r="875">
      <c r="A875" s="179"/>
      <c r="B875" s="179"/>
      <c r="C875" s="179"/>
      <c r="D875" s="179"/>
      <c r="E875" s="179"/>
      <c r="F875" s="179"/>
      <c r="G875" s="194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</row>
    <row r="876">
      <c r="A876" s="179"/>
      <c r="B876" s="179"/>
      <c r="C876" s="179"/>
      <c r="D876" s="179"/>
      <c r="E876" s="179"/>
      <c r="F876" s="179"/>
      <c r="G876" s="194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</row>
    <row r="877">
      <c r="A877" s="179"/>
      <c r="B877" s="179"/>
      <c r="C877" s="179"/>
      <c r="D877" s="179"/>
      <c r="E877" s="179"/>
      <c r="F877" s="179"/>
      <c r="G877" s="194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</row>
    <row r="878">
      <c r="A878" s="179"/>
      <c r="B878" s="179"/>
      <c r="C878" s="179"/>
      <c r="D878" s="179"/>
      <c r="E878" s="179"/>
      <c r="F878" s="179"/>
      <c r="G878" s="194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</row>
    <row r="879">
      <c r="A879" s="179"/>
      <c r="B879" s="179"/>
      <c r="C879" s="179"/>
      <c r="D879" s="179"/>
      <c r="E879" s="179"/>
      <c r="F879" s="179"/>
      <c r="G879" s="194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</row>
    <row r="880">
      <c r="A880" s="179"/>
      <c r="B880" s="179"/>
      <c r="C880" s="179"/>
      <c r="D880" s="179"/>
      <c r="E880" s="179"/>
      <c r="F880" s="179"/>
      <c r="G880" s="194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</row>
    <row r="881">
      <c r="A881" s="179"/>
      <c r="B881" s="179"/>
      <c r="C881" s="179"/>
      <c r="D881" s="179"/>
      <c r="E881" s="179"/>
      <c r="F881" s="179"/>
      <c r="G881" s="194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</row>
    <row r="882">
      <c r="A882" s="179"/>
      <c r="B882" s="179"/>
      <c r="C882" s="179"/>
      <c r="D882" s="179"/>
      <c r="E882" s="179"/>
      <c r="F882" s="179"/>
      <c r="G882" s="194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</row>
    <row r="883">
      <c r="A883" s="179"/>
      <c r="B883" s="179"/>
      <c r="C883" s="179"/>
      <c r="D883" s="179"/>
      <c r="E883" s="179"/>
      <c r="F883" s="179"/>
      <c r="G883" s="194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</row>
    <row r="884">
      <c r="A884" s="179"/>
      <c r="B884" s="179"/>
      <c r="C884" s="179"/>
      <c r="D884" s="179"/>
      <c r="E884" s="179"/>
      <c r="F884" s="179"/>
      <c r="G884" s="194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</row>
    <row r="885">
      <c r="A885" s="179"/>
      <c r="B885" s="179"/>
      <c r="C885" s="179"/>
      <c r="D885" s="179"/>
      <c r="E885" s="179"/>
      <c r="F885" s="179"/>
      <c r="G885" s="194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</row>
    <row r="886">
      <c r="A886" s="179"/>
      <c r="B886" s="179"/>
      <c r="C886" s="179"/>
      <c r="D886" s="179"/>
      <c r="E886" s="179"/>
      <c r="F886" s="179"/>
      <c r="G886" s="194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</row>
    <row r="887">
      <c r="A887" s="179"/>
      <c r="B887" s="179"/>
      <c r="C887" s="179"/>
      <c r="D887" s="179"/>
      <c r="E887" s="179"/>
      <c r="F887" s="179"/>
      <c r="G887" s="194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</row>
    <row r="888">
      <c r="A888" s="179"/>
      <c r="B888" s="179"/>
      <c r="C888" s="179"/>
      <c r="D888" s="179"/>
      <c r="E888" s="179"/>
      <c r="F888" s="179"/>
      <c r="G888" s="194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</row>
    <row r="889">
      <c r="A889" s="179"/>
      <c r="B889" s="179"/>
      <c r="C889" s="179"/>
      <c r="D889" s="179"/>
      <c r="E889" s="179"/>
      <c r="F889" s="179"/>
      <c r="G889" s="194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</row>
    <row r="890">
      <c r="A890" s="179"/>
      <c r="B890" s="179"/>
      <c r="C890" s="179"/>
      <c r="D890" s="179"/>
      <c r="E890" s="179"/>
      <c r="F890" s="179"/>
      <c r="G890" s="194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</row>
    <row r="891">
      <c r="A891" s="179"/>
      <c r="B891" s="179"/>
      <c r="C891" s="179"/>
      <c r="D891" s="179"/>
      <c r="E891" s="179"/>
      <c r="F891" s="179"/>
      <c r="G891" s="194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</row>
    <row r="892">
      <c r="A892" s="179"/>
      <c r="B892" s="179"/>
      <c r="C892" s="179"/>
      <c r="D892" s="179"/>
      <c r="E892" s="179"/>
      <c r="F892" s="179"/>
      <c r="G892" s="194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</row>
    <row r="893">
      <c r="A893" s="179"/>
      <c r="B893" s="179"/>
      <c r="C893" s="179"/>
      <c r="D893" s="179"/>
      <c r="E893" s="179"/>
      <c r="F893" s="179"/>
      <c r="G893" s="194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</row>
    <row r="894">
      <c r="A894" s="179"/>
      <c r="B894" s="179"/>
      <c r="C894" s="179"/>
      <c r="D894" s="179"/>
      <c r="E894" s="179"/>
      <c r="F894" s="179"/>
      <c r="G894" s="194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</row>
    <row r="895">
      <c r="A895" s="179"/>
      <c r="B895" s="179"/>
      <c r="C895" s="179"/>
      <c r="D895" s="179"/>
      <c r="E895" s="179"/>
      <c r="F895" s="179"/>
      <c r="G895" s="194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</row>
    <row r="896">
      <c r="A896" s="179"/>
      <c r="B896" s="179"/>
      <c r="C896" s="179"/>
      <c r="D896" s="179"/>
      <c r="E896" s="179"/>
      <c r="F896" s="179"/>
      <c r="G896" s="194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</row>
    <row r="897">
      <c r="A897" s="179"/>
      <c r="B897" s="179"/>
      <c r="C897" s="179"/>
      <c r="D897" s="179"/>
      <c r="E897" s="179"/>
      <c r="F897" s="179"/>
      <c r="G897" s="194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</row>
    <row r="898">
      <c r="A898" s="179"/>
      <c r="B898" s="179"/>
      <c r="C898" s="179"/>
      <c r="D898" s="179"/>
      <c r="E898" s="179"/>
      <c r="F898" s="179"/>
      <c r="G898" s="194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</row>
    <row r="899">
      <c r="A899" s="179"/>
      <c r="B899" s="179"/>
      <c r="C899" s="179"/>
      <c r="D899" s="179"/>
      <c r="E899" s="179"/>
      <c r="F899" s="179"/>
      <c r="G899" s="194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</row>
    <row r="900">
      <c r="A900" s="179"/>
      <c r="B900" s="179"/>
      <c r="C900" s="179"/>
      <c r="D900" s="179"/>
      <c r="E900" s="179"/>
      <c r="F900" s="179"/>
      <c r="G900" s="194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</row>
    <row r="901">
      <c r="A901" s="179"/>
      <c r="B901" s="179"/>
      <c r="C901" s="179"/>
      <c r="D901" s="179"/>
      <c r="E901" s="179"/>
      <c r="F901" s="179"/>
      <c r="G901" s="194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</row>
    <row r="902">
      <c r="A902" s="179"/>
      <c r="B902" s="179"/>
      <c r="C902" s="179"/>
      <c r="D902" s="179"/>
      <c r="E902" s="179"/>
      <c r="F902" s="179"/>
      <c r="G902" s="194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</row>
    <row r="903">
      <c r="A903" s="179"/>
      <c r="B903" s="179"/>
      <c r="C903" s="179"/>
      <c r="D903" s="179"/>
      <c r="E903" s="179"/>
      <c r="F903" s="179"/>
      <c r="G903" s="194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</row>
    <row r="904">
      <c r="A904" s="179"/>
      <c r="B904" s="179"/>
      <c r="C904" s="179"/>
      <c r="D904" s="179"/>
      <c r="E904" s="179"/>
      <c r="F904" s="179"/>
      <c r="G904" s="194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</row>
    <row r="905">
      <c r="A905" s="179"/>
      <c r="B905" s="179"/>
      <c r="C905" s="179"/>
      <c r="D905" s="179"/>
      <c r="E905" s="179"/>
      <c r="F905" s="179"/>
      <c r="G905" s="194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</row>
    <row r="906">
      <c r="A906" s="179"/>
      <c r="B906" s="179"/>
      <c r="C906" s="179"/>
      <c r="D906" s="179"/>
      <c r="E906" s="179"/>
      <c r="F906" s="179"/>
      <c r="G906" s="194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</row>
    <row r="907">
      <c r="A907" s="179"/>
      <c r="B907" s="179"/>
      <c r="C907" s="179"/>
      <c r="D907" s="179"/>
      <c r="E907" s="179"/>
      <c r="F907" s="179"/>
      <c r="G907" s="194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</row>
    <row r="908">
      <c r="A908" s="179"/>
      <c r="B908" s="179"/>
      <c r="C908" s="179"/>
      <c r="D908" s="179"/>
      <c r="E908" s="179"/>
      <c r="F908" s="179"/>
      <c r="G908" s="194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</row>
    <row r="909">
      <c r="A909" s="179"/>
      <c r="B909" s="179"/>
      <c r="C909" s="179"/>
      <c r="D909" s="179"/>
      <c r="E909" s="179"/>
      <c r="F909" s="179"/>
      <c r="G909" s="194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</row>
    <row r="910">
      <c r="A910" s="179"/>
      <c r="B910" s="179"/>
      <c r="C910" s="179"/>
      <c r="D910" s="179"/>
      <c r="E910" s="179"/>
      <c r="F910" s="179"/>
      <c r="G910" s="194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</row>
    <row r="911">
      <c r="A911" s="179"/>
      <c r="B911" s="179"/>
      <c r="C911" s="179"/>
      <c r="D911" s="179"/>
      <c r="E911" s="179"/>
      <c r="F911" s="179"/>
      <c r="G911" s="194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</row>
    <row r="912">
      <c r="A912" s="179"/>
      <c r="B912" s="179"/>
      <c r="C912" s="179"/>
      <c r="D912" s="179"/>
      <c r="E912" s="179"/>
      <c r="F912" s="179"/>
      <c r="G912" s="194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</row>
    <row r="913">
      <c r="A913" s="179"/>
      <c r="B913" s="179"/>
      <c r="C913" s="179"/>
      <c r="D913" s="179"/>
      <c r="E913" s="179"/>
      <c r="F913" s="179"/>
      <c r="G913" s="194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</row>
    <row r="914">
      <c r="A914" s="179"/>
      <c r="B914" s="179"/>
      <c r="C914" s="179"/>
      <c r="D914" s="179"/>
      <c r="E914" s="179"/>
      <c r="F914" s="179"/>
      <c r="G914" s="194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</row>
    <row r="915">
      <c r="A915" s="179"/>
      <c r="B915" s="179"/>
      <c r="C915" s="179"/>
      <c r="D915" s="179"/>
      <c r="E915" s="179"/>
      <c r="F915" s="179"/>
      <c r="G915" s="194"/>
      <c r="H915" s="179"/>
      <c r="I915" s="179"/>
      <c r="J915" s="179"/>
      <c r="K915" s="179"/>
      <c r="L915" s="179"/>
      <c r="M915" s="179"/>
      <c r="N915" s="179"/>
      <c r="O915" s="179"/>
      <c r="P915" s="179"/>
      <c r="Q915" s="179"/>
      <c r="R915" s="179"/>
      <c r="S915" s="179"/>
      <c r="T915" s="179"/>
      <c r="U915" s="179"/>
      <c r="V915" s="179"/>
      <c r="W915" s="179"/>
      <c r="X915" s="179"/>
      <c r="Y915" s="179"/>
      <c r="Z915" s="179"/>
    </row>
    <row r="916">
      <c r="A916" s="179"/>
      <c r="B916" s="179"/>
      <c r="C916" s="179"/>
      <c r="D916" s="179"/>
      <c r="E916" s="179"/>
      <c r="F916" s="179"/>
      <c r="G916" s="194"/>
      <c r="H916" s="179"/>
      <c r="I916" s="179"/>
      <c r="J916" s="179"/>
      <c r="K916" s="179"/>
      <c r="L916" s="179"/>
      <c r="M916" s="179"/>
      <c r="N916" s="179"/>
      <c r="O916" s="179"/>
      <c r="P916" s="179"/>
      <c r="Q916" s="179"/>
      <c r="R916" s="179"/>
      <c r="S916" s="179"/>
      <c r="T916" s="179"/>
      <c r="U916" s="179"/>
      <c r="V916" s="179"/>
      <c r="W916" s="179"/>
      <c r="X916" s="179"/>
      <c r="Y916" s="179"/>
      <c r="Z916" s="179"/>
    </row>
    <row r="917">
      <c r="A917" s="179"/>
      <c r="B917" s="179"/>
      <c r="C917" s="179"/>
      <c r="D917" s="179"/>
      <c r="E917" s="179"/>
      <c r="F917" s="179"/>
      <c r="G917" s="194"/>
      <c r="H917" s="179"/>
      <c r="I917" s="179"/>
      <c r="J917" s="179"/>
      <c r="K917" s="179"/>
      <c r="L917" s="179"/>
      <c r="M917" s="179"/>
      <c r="N917" s="179"/>
      <c r="O917" s="179"/>
      <c r="P917" s="179"/>
      <c r="Q917" s="179"/>
      <c r="R917" s="179"/>
      <c r="S917" s="179"/>
      <c r="T917" s="179"/>
      <c r="U917" s="179"/>
      <c r="V917" s="179"/>
      <c r="W917" s="179"/>
      <c r="X917" s="179"/>
      <c r="Y917" s="179"/>
      <c r="Z917" s="179"/>
    </row>
    <row r="918">
      <c r="A918" s="179"/>
      <c r="B918" s="179"/>
      <c r="C918" s="179"/>
      <c r="D918" s="179"/>
      <c r="E918" s="179"/>
      <c r="F918" s="179"/>
      <c r="G918" s="194"/>
      <c r="H918" s="179"/>
      <c r="I918" s="179"/>
      <c r="J918" s="179"/>
      <c r="K918" s="179"/>
      <c r="L918" s="179"/>
      <c r="M918" s="179"/>
      <c r="N918" s="179"/>
      <c r="O918" s="179"/>
      <c r="P918" s="179"/>
      <c r="Q918" s="179"/>
      <c r="R918" s="179"/>
      <c r="S918" s="179"/>
      <c r="T918" s="179"/>
      <c r="U918" s="179"/>
      <c r="V918" s="179"/>
      <c r="W918" s="179"/>
      <c r="X918" s="179"/>
      <c r="Y918" s="179"/>
      <c r="Z918" s="179"/>
    </row>
    <row r="919">
      <c r="A919" s="179"/>
      <c r="B919" s="179"/>
      <c r="C919" s="179"/>
      <c r="D919" s="179"/>
      <c r="E919" s="179"/>
      <c r="F919" s="179"/>
      <c r="G919" s="194"/>
      <c r="H919" s="179"/>
      <c r="I919" s="179"/>
      <c r="J919" s="179"/>
      <c r="K919" s="179"/>
      <c r="L919" s="179"/>
      <c r="M919" s="179"/>
      <c r="N919" s="179"/>
      <c r="O919" s="179"/>
      <c r="P919" s="179"/>
      <c r="Q919" s="179"/>
      <c r="R919" s="179"/>
      <c r="S919" s="179"/>
      <c r="T919" s="179"/>
      <c r="U919" s="179"/>
      <c r="V919" s="179"/>
      <c r="W919" s="179"/>
      <c r="X919" s="179"/>
      <c r="Y919" s="179"/>
      <c r="Z919" s="179"/>
    </row>
    <row r="920">
      <c r="A920" s="179"/>
      <c r="B920" s="179"/>
      <c r="C920" s="179"/>
      <c r="D920" s="179"/>
      <c r="E920" s="179"/>
      <c r="F920" s="179"/>
      <c r="G920" s="194"/>
      <c r="H920" s="179"/>
      <c r="I920" s="179"/>
      <c r="J920" s="179"/>
      <c r="K920" s="179"/>
      <c r="L920" s="179"/>
      <c r="M920" s="179"/>
      <c r="N920" s="179"/>
      <c r="O920" s="179"/>
      <c r="P920" s="179"/>
      <c r="Q920" s="179"/>
      <c r="R920" s="179"/>
      <c r="S920" s="179"/>
      <c r="T920" s="179"/>
      <c r="U920" s="179"/>
      <c r="V920" s="179"/>
      <c r="W920" s="179"/>
      <c r="X920" s="179"/>
      <c r="Y920" s="179"/>
      <c r="Z920" s="179"/>
    </row>
    <row r="921">
      <c r="A921" s="179"/>
      <c r="B921" s="179"/>
      <c r="C921" s="179"/>
      <c r="D921" s="179"/>
      <c r="E921" s="179"/>
      <c r="F921" s="179"/>
      <c r="G921" s="194"/>
      <c r="H921" s="179"/>
      <c r="I921" s="179"/>
      <c r="J921" s="179"/>
      <c r="K921" s="179"/>
      <c r="L921" s="179"/>
      <c r="M921" s="179"/>
      <c r="N921" s="179"/>
      <c r="O921" s="179"/>
      <c r="P921" s="179"/>
      <c r="Q921" s="179"/>
      <c r="R921" s="179"/>
      <c r="S921" s="179"/>
      <c r="T921" s="179"/>
      <c r="U921" s="179"/>
      <c r="V921" s="179"/>
      <c r="W921" s="179"/>
      <c r="X921" s="179"/>
      <c r="Y921" s="179"/>
      <c r="Z921" s="179"/>
    </row>
    <row r="922">
      <c r="A922" s="179"/>
      <c r="B922" s="179"/>
      <c r="C922" s="179"/>
      <c r="D922" s="179"/>
      <c r="E922" s="179"/>
      <c r="F922" s="179"/>
      <c r="G922" s="194"/>
      <c r="H922" s="179"/>
      <c r="I922" s="179"/>
      <c r="J922" s="179"/>
      <c r="K922" s="179"/>
      <c r="L922" s="179"/>
      <c r="M922" s="179"/>
      <c r="N922" s="179"/>
      <c r="O922" s="179"/>
      <c r="P922" s="179"/>
      <c r="Q922" s="179"/>
      <c r="R922" s="179"/>
      <c r="S922" s="179"/>
      <c r="T922" s="179"/>
      <c r="U922" s="179"/>
      <c r="V922" s="179"/>
      <c r="W922" s="179"/>
      <c r="X922" s="179"/>
      <c r="Y922" s="179"/>
      <c r="Z922" s="179"/>
    </row>
    <row r="923">
      <c r="A923" s="179"/>
      <c r="B923" s="179"/>
      <c r="C923" s="179"/>
      <c r="D923" s="179"/>
      <c r="E923" s="179"/>
      <c r="F923" s="179"/>
      <c r="G923" s="194"/>
      <c r="H923" s="179"/>
      <c r="I923" s="179"/>
      <c r="J923" s="179"/>
      <c r="K923" s="179"/>
      <c r="L923" s="179"/>
      <c r="M923" s="179"/>
      <c r="N923" s="179"/>
      <c r="O923" s="179"/>
      <c r="P923" s="179"/>
      <c r="Q923" s="179"/>
      <c r="R923" s="179"/>
      <c r="S923" s="179"/>
      <c r="T923" s="179"/>
      <c r="U923" s="179"/>
      <c r="V923" s="179"/>
      <c r="W923" s="179"/>
      <c r="X923" s="179"/>
      <c r="Y923" s="179"/>
      <c r="Z923" s="179"/>
    </row>
    <row r="924">
      <c r="A924" s="179"/>
      <c r="B924" s="179"/>
      <c r="C924" s="179"/>
      <c r="D924" s="179"/>
      <c r="E924" s="179"/>
      <c r="F924" s="179"/>
      <c r="G924" s="194"/>
      <c r="H924" s="179"/>
      <c r="I924" s="179"/>
      <c r="J924" s="179"/>
      <c r="K924" s="179"/>
      <c r="L924" s="179"/>
      <c r="M924" s="179"/>
      <c r="N924" s="179"/>
      <c r="O924" s="179"/>
      <c r="P924" s="179"/>
      <c r="Q924" s="179"/>
      <c r="R924" s="179"/>
      <c r="S924" s="179"/>
      <c r="T924" s="179"/>
      <c r="U924" s="179"/>
      <c r="V924" s="179"/>
      <c r="W924" s="179"/>
      <c r="X924" s="179"/>
      <c r="Y924" s="179"/>
      <c r="Z924" s="179"/>
    </row>
    <row r="925">
      <c r="A925" s="179"/>
      <c r="B925" s="179"/>
      <c r="C925" s="179"/>
      <c r="D925" s="179"/>
      <c r="E925" s="179"/>
      <c r="F925" s="179"/>
      <c r="G925" s="194"/>
      <c r="H925" s="179"/>
      <c r="I925" s="179"/>
      <c r="J925" s="179"/>
      <c r="K925" s="179"/>
      <c r="L925" s="179"/>
      <c r="M925" s="179"/>
      <c r="N925" s="179"/>
      <c r="O925" s="179"/>
      <c r="P925" s="179"/>
      <c r="Q925" s="179"/>
      <c r="R925" s="179"/>
      <c r="S925" s="179"/>
      <c r="T925" s="179"/>
      <c r="U925" s="179"/>
      <c r="V925" s="179"/>
      <c r="W925" s="179"/>
      <c r="X925" s="179"/>
      <c r="Y925" s="179"/>
      <c r="Z925" s="179"/>
    </row>
    <row r="926">
      <c r="A926" s="179"/>
      <c r="B926" s="179"/>
      <c r="C926" s="179"/>
      <c r="D926" s="179"/>
      <c r="E926" s="179"/>
      <c r="F926" s="179"/>
      <c r="G926" s="194"/>
      <c r="H926" s="179"/>
      <c r="I926" s="179"/>
      <c r="J926" s="179"/>
      <c r="K926" s="179"/>
      <c r="L926" s="179"/>
      <c r="M926" s="179"/>
      <c r="N926" s="179"/>
      <c r="O926" s="179"/>
      <c r="P926" s="179"/>
      <c r="Q926" s="179"/>
      <c r="R926" s="179"/>
      <c r="S926" s="179"/>
      <c r="T926" s="179"/>
      <c r="U926" s="179"/>
      <c r="V926" s="179"/>
      <c r="W926" s="179"/>
      <c r="X926" s="179"/>
      <c r="Y926" s="179"/>
      <c r="Z926" s="179"/>
    </row>
    <row r="927">
      <c r="A927" s="179"/>
      <c r="B927" s="179"/>
      <c r="C927" s="179"/>
      <c r="D927" s="179"/>
      <c r="E927" s="179"/>
      <c r="F927" s="179"/>
      <c r="G927" s="194"/>
      <c r="H927" s="179"/>
      <c r="I927" s="179"/>
      <c r="J927" s="179"/>
      <c r="K927" s="179"/>
      <c r="L927" s="179"/>
      <c r="M927" s="179"/>
      <c r="N927" s="179"/>
      <c r="O927" s="179"/>
      <c r="P927" s="179"/>
      <c r="Q927" s="179"/>
      <c r="R927" s="179"/>
      <c r="S927" s="179"/>
      <c r="T927" s="179"/>
      <c r="U927" s="179"/>
      <c r="V927" s="179"/>
      <c r="W927" s="179"/>
      <c r="X927" s="179"/>
      <c r="Y927" s="179"/>
      <c r="Z927" s="179"/>
    </row>
    <row r="928">
      <c r="A928" s="179"/>
      <c r="B928" s="179"/>
      <c r="C928" s="179"/>
      <c r="D928" s="179"/>
      <c r="E928" s="179"/>
      <c r="F928" s="179"/>
      <c r="G928" s="194"/>
      <c r="H928" s="179"/>
      <c r="I928" s="179"/>
      <c r="J928" s="179"/>
      <c r="K928" s="179"/>
      <c r="L928" s="179"/>
      <c r="M928" s="179"/>
      <c r="N928" s="179"/>
      <c r="O928" s="179"/>
      <c r="P928" s="179"/>
      <c r="Q928" s="179"/>
      <c r="R928" s="179"/>
      <c r="S928" s="179"/>
      <c r="T928" s="179"/>
      <c r="U928" s="179"/>
      <c r="V928" s="179"/>
      <c r="W928" s="179"/>
      <c r="X928" s="179"/>
      <c r="Y928" s="179"/>
      <c r="Z928" s="179"/>
    </row>
    <row r="929">
      <c r="A929" s="179"/>
      <c r="B929" s="179"/>
      <c r="C929" s="179"/>
      <c r="D929" s="179"/>
      <c r="E929" s="179"/>
      <c r="F929" s="179"/>
      <c r="G929" s="194"/>
      <c r="H929" s="179"/>
      <c r="I929" s="179"/>
      <c r="J929" s="179"/>
      <c r="K929" s="179"/>
      <c r="L929" s="179"/>
      <c r="M929" s="179"/>
      <c r="N929" s="179"/>
      <c r="O929" s="179"/>
      <c r="P929" s="179"/>
      <c r="Q929" s="179"/>
      <c r="R929" s="179"/>
      <c r="S929" s="179"/>
      <c r="T929" s="179"/>
      <c r="U929" s="179"/>
      <c r="V929" s="179"/>
      <c r="W929" s="179"/>
      <c r="X929" s="179"/>
      <c r="Y929" s="179"/>
      <c r="Z929" s="179"/>
    </row>
    <row r="930">
      <c r="A930" s="179"/>
      <c r="B930" s="179"/>
      <c r="C930" s="179"/>
      <c r="D930" s="179"/>
      <c r="E930" s="179"/>
      <c r="F930" s="179"/>
      <c r="G930" s="194"/>
      <c r="H930" s="179"/>
      <c r="I930" s="179"/>
      <c r="J930" s="179"/>
      <c r="K930" s="179"/>
      <c r="L930" s="179"/>
      <c r="M930" s="179"/>
      <c r="N930" s="179"/>
      <c r="O930" s="179"/>
      <c r="P930" s="179"/>
      <c r="Q930" s="179"/>
      <c r="R930" s="179"/>
      <c r="S930" s="179"/>
      <c r="T930" s="179"/>
      <c r="U930" s="179"/>
      <c r="V930" s="179"/>
      <c r="W930" s="179"/>
      <c r="X930" s="179"/>
      <c r="Y930" s="179"/>
      <c r="Z930" s="179"/>
    </row>
    <row r="931">
      <c r="A931" s="179"/>
      <c r="B931" s="179"/>
      <c r="C931" s="179"/>
      <c r="D931" s="179"/>
      <c r="E931" s="179"/>
      <c r="F931" s="179"/>
      <c r="G931" s="194"/>
      <c r="H931" s="179"/>
      <c r="I931" s="179"/>
      <c r="J931" s="179"/>
      <c r="K931" s="179"/>
      <c r="L931" s="179"/>
      <c r="M931" s="179"/>
      <c r="N931" s="179"/>
      <c r="O931" s="179"/>
      <c r="P931" s="179"/>
      <c r="Q931" s="179"/>
      <c r="R931" s="179"/>
      <c r="S931" s="179"/>
      <c r="T931" s="179"/>
      <c r="U931" s="179"/>
      <c r="V931" s="179"/>
      <c r="W931" s="179"/>
      <c r="X931" s="179"/>
      <c r="Y931" s="179"/>
      <c r="Z931" s="179"/>
    </row>
    <row r="932">
      <c r="A932" s="179"/>
      <c r="B932" s="179"/>
      <c r="C932" s="179"/>
      <c r="D932" s="179"/>
      <c r="E932" s="179"/>
      <c r="F932" s="179"/>
      <c r="G932" s="194"/>
      <c r="H932" s="179"/>
      <c r="I932" s="179"/>
      <c r="J932" s="179"/>
      <c r="K932" s="179"/>
      <c r="L932" s="179"/>
      <c r="M932" s="179"/>
      <c r="N932" s="179"/>
      <c r="O932" s="179"/>
      <c r="P932" s="179"/>
      <c r="Q932" s="179"/>
      <c r="R932" s="179"/>
      <c r="S932" s="179"/>
      <c r="T932" s="179"/>
      <c r="U932" s="179"/>
      <c r="V932" s="179"/>
      <c r="W932" s="179"/>
      <c r="X932" s="179"/>
      <c r="Y932" s="179"/>
      <c r="Z932" s="179"/>
    </row>
    <row r="933">
      <c r="A933" s="179"/>
      <c r="B933" s="179"/>
      <c r="C933" s="179"/>
      <c r="D933" s="179"/>
      <c r="E933" s="179"/>
      <c r="F933" s="179"/>
      <c r="G933" s="194"/>
      <c r="H933" s="179"/>
      <c r="I933" s="179"/>
      <c r="J933" s="179"/>
      <c r="K933" s="179"/>
      <c r="L933" s="179"/>
      <c r="M933" s="179"/>
      <c r="N933" s="179"/>
      <c r="O933" s="179"/>
      <c r="P933" s="179"/>
      <c r="Q933" s="179"/>
      <c r="R933" s="179"/>
      <c r="S933" s="179"/>
      <c r="T933" s="179"/>
      <c r="U933" s="179"/>
      <c r="V933" s="179"/>
      <c r="W933" s="179"/>
      <c r="X933" s="179"/>
      <c r="Y933" s="179"/>
      <c r="Z933" s="179"/>
    </row>
    <row r="934">
      <c r="A934" s="179"/>
      <c r="B934" s="179"/>
      <c r="C934" s="179"/>
      <c r="D934" s="179"/>
      <c r="E934" s="179"/>
      <c r="F934" s="179"/>
      <c r="G934" s="194"/>
      <c r="H934" s="179"/>
      <c r="I934" s="179"/>
      <c r="J934" s="179"/>
      <c r="K934" s="179"/>
      <c r="L934" s="179"/>
      <c r="M934" s="179"/>
      <c r="N934" s="179"/>
      <c r="O934" s="179"/>
      <c r="P934" s="179"/>
      <c r="Q934" s="179"/>
      <c r="R934" s="179"/>
      <c r="S934" s="179"/>
      <c r="T934" s="179"/>
      <c r="U934" s="179"/>
      <c r="V934" s="179"/>
      <c r="W934" s="179"/>
      <c r="X934" s="179"/>
      <c r="Y934" s="179"/>
      <c r="Z934" s="179"/>
    </row>
    <row r="935">
      <c r="A935" s="179"/>
      <c r="B935" s="179"/>
      <c r="C935" s="179"/>
      <c r="D935" s="179"/>
      <c r="E935" s="179"/>
      <c r="F935" s="179"/>
      <c r="G935" s="194"/>
      <c r="H935" s="179"/>
      <c r="I935" s="179"/>
      <c r="J935" s="179"/>
      <c r="K935" s="179"/>
      <c r="L935" s="179"/>
      <c r="M935" s="179"/>
      <c r="N935" s="179"/>
      <c r="O935" s="179"/>
      <c r="P935" s="179"/>
      <c r="Q935" s="179"/>
      <c r="R935" s="179"/>
      <c r="S935" s="179"/>
      <c r="T935" s="179"/>
      <c r="U935" s="179"/>
      <c r="V935" s="179"/>
      <c r="W935" s="179"/>
      <c r="X935" s="179"/>
      <c r="Y935" s="179"/>
      <c r="Z935" s="179"/>
    </row>
    <row r="936">
      <c r="A936" s="179"/>
      <c r="B936" s="179"/>
      <c r="C936" s="179"/>
      <c r="D936" s="179"/>
      <c r="E936" s="179"/>
      <c r="F936" s="179"/>
      <c r="G936" s="194"/>
      <c r="H936" s="179"/>
      <c r="I936" s="179"/>
      <c r="J936" s="179"/>
      <c r="K936" s="179"/>
      <c r="L936" s="179"/>
      <c r="M936" s="179"/>
      <c r="N936" s="179"/>
      <c r="O936" s="179"/>
      <c r="P936" s="179"/>
      <c r="Q936" s="179"/>
      <c r="R936" s="179"/>
      <c r="S936" s="179"/>
      <c r="T936" s="179"/>
      <c r="U936" s="179"/>
      <c r="V936" s="179"/>
      <c r="W936" s="179"/>
      <c r="X936" s="179"/>
      <c r="Y936" s="179"/>
      <c r="Z936" s="179"/>
    </row>
    <row r="937">
      <c r="A937" s="179"/>
      <c r="B937" s="179"/>
      <c r="C937" s="179"/>
      <c r="D937" s="179"/>
      <c r="E937" s="179"/>
      <c r="F937" s="179"/>
      <c r="G937" s="194"/>
      <c r="H937" s="179"/>
      <c r="I937" s="179"/>
      <c r="J937" s="179"/>
      <c r="K937" s="179"/>
      <c r="L937" s="179"/>
      <c r="M937" s="179"/>
      <c r="N937" s="179"/>
      <c r="O937" s="179"/>
      <c r="P937" s="179"/>
      <c r="Q937" s="179"/>
      <c r="R937" s="179"/>
      <c r="S937" s="179"/>
      <c r="T937" s="179"/>
      <c r="U937" s="179"/>
      <c r="V937" s="179"/>
      <c r="W937" s="179"/>
      <c r="X937" s="179"/>
      <c r="Y937" s="179"/>
      <c r="Z937" s="179"/>
    </row>
    <row r="938">
      <c r="A938" s="179"/>
      <c r="B938" s="179"/>
      <c r="C938" s="179"/>
      <c r="D938" s="179"/>
      <c r="E938" s="179"/>
      <c r="F938" s="179"/>
      <c r="G938" s="194"/>
      <c r="H938" s="179"/>
      <c r="I938" s="179"/>
      <c r="J938" s="179"/>
      <c r="K938" s="179"/>
      <c r="L938" s="179"/>
      <c r="M938" s="179"/>
      <c r="N938" s="179"/>
      <c r="O938" s="179"/>
      <c r="P938" s="179"/>
      <c r="Q938" s="179"/>
      <c r="R938" s="179"/>
      <c r="S938" s="179"/>
      <c r="T938" s="179"/>
      <c r="U938" s="179"/>
      <c r="V938" s="179"/>
      <c r="W938" s="179"/>
      <c r="X938" s="179"/>
      <c r="Y938" s="179"/>
      <c r="Z938" s="179"/>
    </row>
    <row r="939">
      <c r="A939" s="179"/>
      <c r="B939" s="179"/>
      <c r="C939" s="179"/>
      <c r="D939" s="179"/>
      <c r="E939" s="179"/>
      <c r="F939" s="179"/>
      <c r="G939" s="194"/>
      <c r="H939" s="179"/>
      <c r="I939" s="179"/>
      <c r="J939" s="179"/>
      <c r="K939" s="179"/>
      <c r="L939" s="179"/>
      <c r="M939" s="179"/>
      <c r="N939" s="179"/>
      <c r="O939" s="179"/>
      <c r="P939" s="179"/>
      <c r="Q939" s="179"/>
      <c r="R939" s="179"/>
      <c r="S939" s="179"/>
      <c r="T939" s="179"/>
      <c r="U939" s="179"/>
      <c r="V939" s="179"/>
      <c r="W939" s="179"/>
      <c r="X939" s="179"/>
      <c r="Y939" s="179"/>
      <c r="Z939" s="179"/>
    </row>
    <row r="940">
      <c r="A940" s="179"/>
      <c r="B940" s="179"/>
      <c r="C940" s="179"/>
      <c r="D940" s="179"/>
      <c r="E940" s="179"/>
      <c r="F940" s="179"/>
      <c r="G940" s="194"/>
      <c r="H940" s="179"/>
      <c r="I940" s="179"/>
      <c r="J940" s="179"/>
      <c r="K940" s="179"/>
      <c r="L940" s="179"/>
      <c r="M940" s="179"/>
      <c r="N940" s="179"/>
      <c r="O940" s="179"/>
      <c r="P940" s="179"/>
      <c r="Q940" s="179"/>
      <c r="R940" s="179"/>
      <c r="S940" s="179"/>
      <c r="T940" s="179"/>
      <c r="U940" s="179"/>
      <c r="V940" s="179"/>
      <c r="W940" s="179"/>
      <c r="X940" s="179"/>
      <c r="Y940" s="179"/>
      <c r="Z940" s="179"/>
    </row>
    <row r="941">
      <c r="A941" s="179"/>
      <c r="B941" s="179"/>
      <c r="C941" s="179"/>
      <c r="D941" s="179"/>
      <c r="E941" s="179"/>
      <c r="F941" s="179"/>
      <c r="G941" s="194"/>
      <c r="H941" s="179"/>
      <c r="I941" s="179"/>
      <c r="J941" s="179"/>
      <c r="K941" s="179"/>
      <c r="L941" s="179"/>
      <c r="M941" s="179"/>
      <c r="N941" s="179"/>
      <c r="O941" s="179"/>
      <c r="P941" s="179"/>
      <c r="Q941" s="179"/>
      <c r="R941" s="179"/>
      <c r="S941" s="179"/>
      <c r="T941" s="179"/>
      <c r="U941" s="179"/>
      <c r="V941" s="179"/>
      <c r="W941" s="179"/>
      <c r="X941" s="179"/>
      <c r="Y941" s="179"/>
      <c r="Z941" s="179"/>
    </row>
    <row r="942">
      <c r="A942" s="179"/>
      <c r="B942" s="179"/>
      <c r="C942" s="179"/>
      <c r="D942" s="179"/>
      <c r="E942" s="179"/>
      <c r="F942" s="179"/>
      <c r="G942" s="194"/>
      <c r="H942" s="179"/>
      <c r="I942" s="179"/>
      <c r="J942" s="179"/>
      <c r="K942" s="179"/>
      <c r="L942" s="179"/>
      <c r="M942" s="179"/>
      <c r="N942" s="179"/>
      <c r="O942" s="179"/>
      <c r="P942" s="179"/>
      <c r="Q942" s="179"/>
      <c r="R942" s="179"/>
      <c r="S942" s="179"/>
      <c r="T942" s="179"/>
      <c r="U942" s="179"/>
      <c r="V942" s="179"/>
      <c r="W942" s="179"/>
      <c r="X942" s="179"/>
      <c r="Y942" s="179"/>
      <c r="Z942" s="179"/>
    </row>
    <row r="943">
      <c r="A943" s="179"/>
      <c r="B943" s="179"/>
      <c r="C943" s="179"/>
      <c r="D943" s="179"/>
      <c r="E943" s="179"/>
      <c r="F943" s="179"/>
      <c r="G943" s="194"/>
      <c r="H943" s="179"/>
      <c r="I943" s="179"/>
      <c r="J943" s="179"/>
      <c r="K943" s="179"/>
      <c r="L943" s="179"/>
      <c r="M943" s="179"/>
      <c r="N943" s="179"/>
      <c r="O943" s="179"/>
      <c r="P943" s="179"/>
      <c r="Q943" s="179"/>
      <c r="R943" s="179"/>
      <c r="S943" s="179"/>
      <c r="T943" s="179"/>
      <c r="U943" s="179"/>
      <c r="V943" s="179"/>
      <c r="W943" s="179"/>
      <c r="X943" s="179"/>
      <c r="Y943" s="179"/>
      <c r="Z943" s="179"/>
    </row>
    <row r="944">
      <c r="A944" s="179"/>
      <c r="B944" s="179"/>
      <c r="C944" s="179"/>
      <c r="D944" s="179"/>
      <c r="E944" s="179"/>
      <c r="F944" s="179"/>
      <c r="G944" s="194"/>
      <c r="H944" s="179"/>
      <c r="I944" s="179"/>
      <c r="J944" s="179"/>
      <c r="K944" s="179"/>
      <c r="L944" s="179"/>
      <c r="M944" s="179"/>
      <c r="N944" s="179"/>
      <c r="O944" s="179"/>
      <c r="P944" s="179"/>
      <c r="Q944" s="179"/>
      <c r="R944" s="179"/>
      <c r="S944" s="179"/>
      <c r="T944" s="179"/>
      <c r="U944" s="179"/>
      <c r="V944" s="179"/>
      <c r="W944" s="179"/>
      <c r="X944" s="179"/>
      <c r="Y944" s="179"/>
      <c r="Z944" s="179"/>
    </row>
    <row r="945">
      <c r="A945" s="179"/>
      <c r="B945" s="179"/>
      <c r="C945" s="179"/>
      <c r="D945" s="179"/>
      <c r="E945" s="179"/>
      <c r="F945" s="179"/>
      <c r="G945" s="194"/>
      <c r="H945" s="179"/>
      <c r="I945" s="179"/>
      <c r="J945" s="179"/>
      <c r="K945" s="179"/>
      <c r="L945" s="179"/>
      <c r="M945" s="179"/>
      <c r="N945" s="179"/>
      <c r="O945" s="179"/>
      <c r="P945" s="179"/>
      <c r="Q945" s="179"/>
      <c r="R945" s="179"/>
      <c r="S945" s="179"/>
      <c r="T945" s="179"/>
      <c r="U945" s="179"/>
      <c r="V945" s="179"/>
      <c r="W945" s="179"/>
      <c r="X945" s="179"/>
      <c r="Y945" s="179"/>
      <c r="Z945" s="179"/>
    </row>
    <row r="946">
      <c r="A946" s="179"/>
      <c r="B946" s="179"/>
      <c r="C946" s="179"/>
      <c r="D946" s="179"/>
      <c r="E946" s="179"/>
      <c r="F946" s="179"/>
      <c r="G946" s="194"/>
      <c r="H946" s="179"/>
      <c r="I946" s="179"/>
      <c r="J946" s="179"/>
      <c r="K946" s="179"/>
      <c r="L946" s="179"/>
      <c r="M946" s="179"/>
      <c r="N946" s="179"/>
      <c r="O946" s="179"/>
      <c r="P946" s="179"/>
      <c r="Q946" s="179"/>
      <c r="R946" s="179"/>
      <c r="S946" s="179"/>
      <c r="T946" s="179"/>
      <c r="U946" s="179"/>
      <c r="V946" s="179"/>
      <c r="W946" s="179"/>
      <c r="X946" s="179"/>
      <c r="Y946" s="179"/>
      <c r="Z946" s="179"/>
    </row>
    <row r="947">
      <c r="A947" s="179"/>
      <c r="B947" s="179"/>
      <c r="C947" s="179"/>
      <c r="D947" s="179"/>
      <c r="E947" s="179"/>
      <c r="F947" s="179"/>
      <c r="G947" s="194"/>
      <c r="H947" s="179"/>
      <c r="I947" s="179"/>
      <c r="J947" s="179"/>
      <c r="K947" s="179"/>
      <c r="L947" s="179"/>
      <c r="M947" s="179"/>
      <c r="N947" s="179"/>
      <c r="O947" s="179"/>
      <c r="P947" s="179"/>
      <c r="Q947" s="179"/>
      <c r="R947" s="179"/>
      <c r="S947" s="179"/>
      <c r="T947" s="179"/>
      <c r="U947" s="179"/>
      <c r="V947" s="179"/>
      <c r="W947" s="179"/>
      <c r="X947" s="179"/>
      <c r="Y947" s="179"/>
      <c r="Z947" s="179"/>
    </row>
    <row r="948">
      <c r="A948" s="179"/>
      <c r="B948" s="179"/>
      <c r="C948" s="179"/>
      <c r="D948" s="179"/>
      <c r="E948" s="179"/>
      <c r="F948" s="179"/>
      <c r="G948" s="194"/>
      <c r="H948" s="179"/>
      <c r="I948" s="179"/>
      <c r="J948" s="179"/>
      <c r="K948" s="179"/>
      <c r="L948" s="179"/>
      <c r="M948" s="179"/>
      <c r="N948" s="179"/>
      <c r="O948" s="179"/>
      <c r="P948" s="179"/>
      <c r="Q948" s="179"/>
      <c r="R948" s="179"/>
      <c r="S948" s="179"/>
      <c r="T948" s="179"/>
      <c r="U948" s="179"/>
      <c r="V948" s="179"/>
      <c r="W948" s="179"/>
      <c r="X948" s="179"/>
      <c r="Y948" s="179"/>
      <c r="Z948" s="179"/>
    </row>
    <row r="949">
      <c r="A949" s="179"/>
      <c r="B949" s="179"/>
      <c r="C949" s="179"/>
      <c r="D949" s="179"/>
      <c r="E949" s="179"/>
      <c r="F949" s="179"/>
      <c r="G949" s="194"/>
      <c r="H949" s="179"/>
      <c r="I949" s="179"/>
      <c r="J949" s="179"/>
      <c r="K949" s="179"/>
      <c r="L949" s="179"/>
      <c r="M949" s="179"/>
      <c r="N949" s="179"/>
      <c r="O949" s="179"/>
      <c r="P949" s="179"/>
      <c r="Q949" s="179"/>
      <c r="R949" s="179"/>
      <c r="S949" s="179"/>
      <c r="T949" s="179"/>
      <c r="U949" s="179"/>
      <c r="V949" s="179"/>
      <c r="W949" s="179"/>
      <c r="X949" s="179"/>
      <c r="Y949" s="179"/>
      <c r="Z949" s="179"/>
    </row>
    <row r="950">
      <c r="A950" s="179"/>
      <c r="B950" s="179"/>
      <c r="C950" s="179"/>
      <c r="D950" s="179"/>
      <c r="E950" s="179"/>
      <c r="F950" s="179"/>
      <c r="G950" s="194"/>
      <c r="H950" s="179"/>
      <c r="I950" s="179"/>
      <c r="J950" s="179"/>
      <c r="K950" s="179"/>
      <c r="L950" s="179"/>
      <c r="M950" s="179"/>
      <c r="N950" s="179"/>
      <c r="O950" s="179"/>
      <c r="P950" s="179"/>
      <c r="Q950" s="179"/>
      <c r="R950" s="179"/>
      <c r="S950" s="179"/>
      <c r="T950" s="179"/>
      <c r="U950" s="179"/>
      <c r="V950" s="179"/>
      <c r="W950" s="179"/>
      <c r="X950" s="179"/>
      <c r="Y950" s="179"/>
      <c r="Z950" s="179"/>
    </row>
    <row r="951">
      <c r="A951" s="179"/>
      <c r="B951" s="179"/>
      <c r="C951" s="179"/>
      <c r="D951" s="179"/>
      <c r="E951" s="179"/>
      <c r="F951" s="179"/>
      <c r="G951" s="194"/>
      <c r="H951" s="179"/>
      <c r="I951" s="179"/>
      <c r="J951" s="179"/>
      <c r="K951" s="179"/>
      <c r="L951" s="179"/>
      <c r="M951" s="179"/>
      <c r="N951" s="179"/>
      <c r="O951" s="179"/>
      <c r="P951" s="179"/>
      <c r="Q951" s="179"/>
      <c r="R951" s="179"/>
      <c r="S951" s="179"/>
      <c r="T951" s="179"/>
      <c r="U951" s="179"/>
      <c r="V951" s="179"/>
      <c r="W951" s="179"/>
      <c r="X951" s="179"/>
      <c r="Y951" s="179"/>
      <c r="Z951" s="179"/>
    </row>
    <row r="952">
      <c r="A952" s="179"/>
      <c r="B952" s="179"/>
      <c r="C952" s="179"/>
      <c r="D952" s="179"/>
      <c r="E952" s="179"/>
      <c r="F952" s="179"/>
      <c r="G952" s="194"/>
      <c r="H952" s="179"/>
      <c r="I952" s="179"/>
      <c r="J952" s="179"/>
      <c r="K952" s="179"/>
      <c r="L952" s="179"/>
      <c r="M952" s="179"/>
      <c r="N952" s="179"/>
      <c r="O952" s="179"/>
      <c r="P952" s="179"/>
      <c r="Q952" s="179"/>
      <c r="R952" s="179"/>
      <c r="S952" s="179"/>
      <c r="T952" s="179"/>
      <c r="U952" s="179"/>
      <c r="V952" s="179"/>
      <c r="W952" s="179"/>
      <c r="X952" s="179"/>
      <c r="Y952" s="179"/>
      <c r="Z952" s="179"/>
    </row>
    <row r="953">
      <c r="A953" s="179"/>
      <c r="B953" s="179"/>
      <c r="C953" s="179"/>
      <c r="D953" s="179"/>
      <c r="E953" s="179"/>
      <c r="F953" s="179"/>
      <c r="G953" s="194"/>
      <c r="H953" s="179"/>
      <c r="I953" s="179"/>
      <c r="J953" s="179"/>
      <c r="K953" s="179"/>
      <c r="L953" s="179"/>
      <c r="M953" s="179"/>
      <c r="N953" s="179"/>
      <c r="O953" s="179"/>
      <c r="P953" s="179"/>
      <c r="Q953" s="179"/>
      <c r="R953" s="179"/>
      <c r="S953" s="179"/>
      <c r="T953" s="179"/>
      <c r="U953" s="179"/>
      <c r="V953" s="179"/>
      <c r="W953" s="179"/>
      <c r="X953" s="179"/>
      <c r="Y953" s="179"/>
      <c r="Z953" s="179"/>
    </row>
    <row r="954">
      <c r="A954" s="179"/>
      <c r="B954" s="179"/>
      <c r="C954" s="179"/>
      <c r="D954" s="179"/>
      <c r="E954" s="179"/>
      <c r="F954" s="179"/>
      <c r="G954" s="194"/>
      <c r="H954" s="179"/>
      <c r="I954" s="179"/>
      <c r="J954" s="179"/>
      <c r="K954" s="179"/>
      <c r="L954" s="179"/>
      <c r="M954" s="179"/>
      <c r="N954" s="179"/>
      <c r="O954" s="179"/>
      <c r="P954" s="179"/>
      <c r="Q954" s="179"/>
      <c r="R954" s="179"/>
      <c r="S954" s="179"/>
      <c r="T954" s="179"/>
      <c r="U954" s="179"/>
      <c r="V954" s="179"/>
      <c r="W954" s="179"/>
      <c r="X954" s="179"/>
      <c r="Y954" s="179"/>
      <c r="Z954" s="179"/>
    </row>
    <row r="955">
      <c r="A955" s="179"/>
      <c r="B955" s="179"/>
      <c r="C955" s="179"/>
      <c r="D955" s="179"/>
      <c r="E955" s="179"/>
      <c r="F955" s="179"/>
      <c r="G955" s="194"/>
      <c r="H955" s="179"/>
      <c r="I955" s="179"/>
      <c r="J955" s="179"/>
      <c r="K955" s="179"/>
      <c r="L955" s="179"/>
      <c r="M955" s="179"/>
      <c r="N955" s="179"/>
      <c r="O955" s="179"/>
      <c r="P955" s="179"/>
      <c r="Q955" s="179"/>
      <c r="R955" s="179"/>
      <c r="S955" s="179"/>
      <c r="T955" s="179"/>
      <c r="U955" s="179"/>
      <c r="V955" s="179"/>
      <c r="W955" s="179"/>
      <c r="X955" s="179"/>
      <c r="Y955" s="179"/>
      <c r="Z955" s="179"/>
    </row>
    <row r="956">
      <c r="A956" s="179"/>
      <c r="B956" s="179"/>
      <c r="C956" s="179"/>
      <c r="D956" s="179"/>
      <c r="E956" s="179"/>
      <c r="F956" s="179"/>
      <c r="G956" s="194"/>
      <c r="H956" s="179"/>
      <c r="I956" s="179"/>
      <c r="J956" s="179"/>
      <c r="K956" s="179"/>
      <c r="L956" s="179"/>
      <c r="M956" s="179"/>
      <c r="N956" s="179"/>
      <c r="O956" s="179"/>
      <c r="P956" s="179"/>
      <c r="Q956" s="179"/>
      <c r="R956" s="179"/>
      <c r="S956" s="179"/>
      <c r="T956" s="179"/>
      <c r="U956" s="179"/>
      <c r="V956" s="179"/>
      <c r="W956" s="179"/>
      <c r="X956" s="179"/>
      <c r="Y956" s="179"/>
      <c r="Z956" s="179"/>
    </row>
    <row r="957">
      <c r="A957" s="179"/>
      <c r="B957" s="179"/>
      <c r="C957" s="179"/>
      <c r="D957" s="179"/>
      <c r="E957" s="179"/>
      <c r="F957" s="179"/>
      <c r="G957" s="194"/>
      <c r="H957" s="179"/>
      <c r="I957" s="179"/>
      <c r="J957" s="179"/>
      <c r="K957" s="179"/>
      <c r="L957" s="179"/>
      <c r="M957" s="179"/>
      <c r="N957" s="179"/>
      <c r="O957" s="179"/>
      <c r="P957" s="179"/>
      <c r="Q957" s="179"/>
      <c r="R957" s="179"/>
      <c r="S957" s="179"/>
      <c r="T957" s="179"/>
      <c r="U957" s="179"/>
      <c r="V957" s="179"/>
      <c r="W957" s="179"/>
      <c r="X957" s="179"/>
      <c r="Y957" s="179"/>
      <c r="Z957" s="179"/>
    </row>
    <row r="958">
      <c r="A958" s="179"/>
      <c r="B958" s="179"/>
      <c r="C958" s="179"/>
      <c r="D958" s="179"/>
      <c r="E958" s="179"/>
      <c r="F958" s="179"/>
      <c r="G958" s="194"/>
      <c r="H958" s="179"/>
      <c r="I958" s="179"/>
      <c r="J958" s="179"/>
      <c r="K958" s="179"/>
      <c r="L958" s="179"/>
      <c r="M958" s="179"/>
      <c r="N958" s="179"/>
      <c r="O958" s="179"/>
      <c r="P958" s="179"/>
      <c r="Q958" s="179"/>
      <c r="R958" s="179"/>
      <c r="S958" s="179"/>
      <c r="T958" s="179"/>
      <c r="U958" s="179"/>
      <c r="V958" s="179"/>
      <c r="W958" s="179"/>
      <c r="X958" s="179"/>
      <c r="Y958" s="179"/>
      <c r="Z958" s="179"/>
    </row>
    <row r="959">
      <c r="A959" s="179"/>
      <c r="B959" s="179"/>
      <c r="C959" s="179"/>
      <c r="D959" s="179"/>
      <c r="E959" s="179"/>
      <c r="F959" s="179"/>
      <c r="G959" s="194"/>
      <c r="H959" s="179"/>
      <c r="I959" s="179"/>
      <c r="J959" s="179"/>
      <c r="K959" s="179"/>
      <c r="L959" s="179"/>
      <c r="M959" s="179"/>
      <c r="N959" s="179"/>
      <c r="O959" s="179"/>
      <c r="P959" s="179"/>
      <c r="Q959" s="179"/>
      <c r="R959" s="179"/>
      <c r="S959" s="179"/>
      <c r="T959" s="179"/>
      <c r="U959" s="179"/>
      <c r="V959" s="179"/>
      <c r="W959" s="179"/>
      <c r="X959" s="179"/>
      <c r="Y959" s="179"/>
      <c r="Z959" s="179"/>
    </row>
    <row r="960">
      <c r="A960" s="179"/>
      <c r="B960" s="179"/>
      <c r="C960" s="179"/>
      <c r="D960" s="179"/>
      <c r="E960" s="179"/>
      <c r="F960" s="179"/>
      <c r="G960" s="194"/>
      <c r="H960" s="179"/>
      <c r="I960" s="179"/>
      <c r="J960" s="179"/>
      <c r="K960" s="179"/>
      <c r="L960" s="179"/>
      <c r="M960" s="179"/>
      <c r="N960" s="179"/>
      <c r="O960" s="179"/>
      <c r="P960" s="179"/>
      <c r="Q960" s="179"/>
      <c r="R960" s="179"/>
      <c r="S960" s="179"/>
      <c r="T960" s="179"/>
      <c r="U960" s="179"/>
      <c r="V960" s="179"/>
      <c r="W960" s="179"/>
      <c r="X960" s="179"/>
      <c r="Y960" s="179"/>
      <c r="Z960" s="179"/>
    </row>
    <row r="961">
      <c r="A961" s="179"/>
      <c r="B961" s="179"/>
      <c r="C961" s="179"/>
      <c r="D961" s="179"/>
      <c r="E961" s="179"/>
      <c r="F961" s="179"/>
      <c r="G961" s="194"/>
      <c r="H961" s="179"/>
      <c r="I961" s="179"/>
      <c r="J961" s="179"/>
      <c r="K961" s="179"/>
      <c r="L961" s="179"/>
      <c r="M961" s="179"/>
      <c r="N961" s="179"/>
      <c r="O961" s="179"/>
      <c r="P961" s="179"/>
      <c r="Q961" s="179"/>
      <c r="R961" s="179"/>
      <c r="S961" s="179"/>
      <c r="T961" s="179"/>
      <c r="U961" s="179"/>
      <c r="V961" s="179"/>
      <c r="W961" s="179"/>
      <c r="X961" s="179"/>
      <c r="Y961" s="179"/>
      <c r="Z961" s="179"/>
    </row>
    <row r="962">
      <c r="A962" s="179"/>
      <c r="B962" s="179"/>
      <c r="C962" s="179"/>
      <c r="D962" s="179"/>
      <c r="E962" s="179"/>
      <c r="F962" s="179"/>
      <c r="G962" s="194"/>
      <c r="H962" s="179"/>
      <c r="I962" s="179"/>
      <c r="J962" s="179"/>
      <c r="K962" s="179"/>
      <c r="L962" s="179"/>
      <c r="M962" s="179"/>
      <c r="N962" s="179"/>
      <c r="O962" s="179"/>
      <c r="P962" s="179"/>
      <c r="Q962" s="179"/>
      <c r="R962" s="179"/>
      <c r="S962" s="179"/>
      <c r="T962" s="179"/>
      <c r="U962" s="179"/>
      <c r="V962" s="179"/>
      <c r="W962" s="179"/>
      <c r="X962" s="179"/>
      <c r="Y962" s="179"/>
      <c r="Z962" s="179"/>
    </row>
    <row r="963">
      <c r="A963" s="179"/>
      <c r="B963" s="179"/>
      <c r="C963" s="179"/>
      <c r="D963" s="179"/>
      <c r="E963" s="179"/>
      <c r="F963" s="179"/>
      <c r="G963" s="194"/>
      <c r="H963" s="179"/>
      <c r="I963" s="179"/>
      <c r="J963" s="179"/>
      <c r="K963" s="179"/>
      <c r="L963" s="179"/>
      <c r="M963" s="179"/>
      <c r="N963" s="179"/>
      <c r="O963" s="179"/>
      <c r="P963" s="179"/>
      <c r="Q963" s="179"/>
      <c r="R963" s="179"/>
      <c r="S963" s="179"/>
      <c r="T963" s="179"/>
      <c r="U963" s="179"/>
      <c r="V963" s="179"/>
      <c r="W963" s="179"/>
      <c r="X963" s="179"/>
      <c r="Y963" s="179"/>
      <c r="Z963" s="179"/>
    </row>
    <row r="964">
      <c r="A964" s="179"/>
      <c r="B964" s="179"/>
      <c r="C964" s="179"/>
      <c r="D964" s="179"/>
      <c r="E964" s="179"/>
      <c r="F964" s="179"/>
      <c r="G964" s="194"/>
      <c r="H964" s="179"/>
      <c r="I964" s="179"/>
      <c r="J964" s="179"/>
      <c r="K964" s="179"/>
      <c r="L964" s="179"/>
      <c r="M964" s="179"/>
      <c r="N964" s="179"/>
      <c r="O964" s="179"/>
      <c r="P964" s="179"/>
      <c r="Q964" s="179"/>
      <c r="R964" s="179"/>
      <c r="S964" s="179"/>
      <c r="T964" s="179"/>
      <c r="U964" s="179"/>
      <c r="V964" s="179"/>
      <c r="W964" s="179"/>
      <c r="X964" s="179"/>
      <c r="Y964" s="179"/>
      <c r="Z964" s="179"/>
    </row>
    <row r="965">
      <c r="A965" s="179"/>
      <c r="B965" s="179"/>
      <c r="C965" s="179"/>
      <c r="D965" s="179"/>
      <c r="E965" s="179"/>
      <c r="F965" s="179"/>
      <c r="G965" s="194"/>
      <c r="H965" s="179"/>
      <c r="I965" s="179"/>
      <c r="J965" s="179"/>
      <c r="K965" s="179"/>
      <c r="L965" s="179"/>
      <c r="M965" s="179"/>
      <c r="N965" s="179"/>
      <c r="O965" s="179"/>
      <c r="P965" s="179"/>
      <c r="Q965" s="179"/>
      <c r="R965" s="179"/>
      <c r="S965" s="179"/>
      <c r="T965" s="179"/>
      <c r="U965" s="179"/>
      <c r="V965" s="179"/>
      <c r="W965" s="179"/>
      <c r="X965" s="179"/>
      <c r="Y965" s="179"/>
      <c r="Z965" s="179"/>
    </row>
    <row r="966">
      <c r="A966" s="179"/>
      <c r="B966" s="179"/>
      <c r="C966" s="179"/>
      <c r="D966" s="179"/>
      <c r="E966" s="179"/>
      <c r="F966" s="179"/>
      <c r="G966" s="194"/>
      <c r="H966" s="179"/>
      <c r="I966" s="179"/>
      <c r="J966" s="179"/>
      <c r="K966" s="179"/>
      <c r="L966" s="179"/>
      <c r="M966" s="179"/>
      <c r="N966" s="179"/>
      <c r="O966" s="179"/>
      <c r="P966" s="179"/>
      <c r="Q966" s="179"/>
      <c r="R966" s="179"/>
      <c r="S966" s="179"/>
      <c r="T966" s="179"/>
      <c r="U966" s="179"/>
      <c r="V966" s="179"/>
      <c r="W966" s="179"/>
      <c r="X966" s="179"/>
      <c r="Y966" s="179"/>
      <c r="Z966" s="179"/>
    </row>
    <row r="967">
      <c r="A967" s="179"/>
      <c r="B967" s="179"/>
      <c r="C967" s="179"/>
      <c r="D967" s="179"/>
      <c r="E967" s="179"/>
      <c r="F967" s="179"/>
      <c r="G967" s="194"/>
      <c r="H967" s="179"/>
      <c r="I967" s="179"/>
      <c r="J967" s="179"/>
      <c r="K967" s="179"/>
      <c r="L967" s="179"/>
      <c r="M967" s="179"/>
      <c r="N967" s="179"/>
      <c r="O967" s="179"/>
      <c r="P967" s="179"/>
      <c r="Q967" s="179"/>
      <c r="R967" s="179"/>
      <c r="S967" s="179"/>
      <c r="T967" s="179"/>
      <c r="U967" s="179"/>
      <c r="V967" s="179"/>
      <c r="W967" s="179"/>
      <c r="X967" s="179"/>
      <c r="Y967" s="179"/>
      <c r="Z967" s="179"/>
    </row>
    <row r="968">
      <c r="A968" s="179"/>
      <c r="B968" s="179"/>
      <c r="C968" s="179"/>
      <c r="D968" s="179"/>
      <c r="E968" s="179"/>
      <c r="F968" s="179"/>
      <c r="G968" s="194"/>
      <c r="H968" s="179"/>
      <c r="I968" s="179"/>
      <c r="J968" s="179"/>
      <c r="K968" s="179"/>
      <c r="L968" s="179"/>
      <c r="M968" s="179"/>
      <c r="N968" s="179"/>
      <c r="O968" s="179"/>
      <c r="P968" s="179"/>
      <c r="Q968" s="179"/>
      <c r="R968" s="179"/>
      <c r="S968" s="179"/>
      <c r="T968" s="179"/>
      <c r="U968" s="179"/>
      <c r="V968" s="179"/>
      <c r="W968" s="179"/>
      <c r="X968" s="179"/>
      <c r="Y968" s="179"/>
      <c r="Z968" s="179"/>
    </row>
    <row r="969">
      <c r="A969" s="179"/>
      <c r="B969" s="179"/>
      <c r="C969" s="179"/>
      <c r="D969" s="179"/>
      <c r="E969" s="179"/>
      <c r="F969" s="179"/>
      <c r="G969" s="194"/>
      <c r="H969" s="179"/>
      <c r="I969" s="179"/>
      <c r="J969" s="179"/>
      <c r="K969" s="179"/>
      <c r="L969" s="179"/>
      <c r="M969" s="179"/>
      <c r="N969" s="179"/>
      <c r="O969" s="179"/>
      <c r="P969" s="179"/>
      <c r="Q969" s="179"/>
      <c r="R969" s="179"/>
      <c r="S969" s="179"/>
      <c r="T969" s="179"/>
      <c r="U969" s="179"/>
      <c r="V969" s="179"/>
      <c r="W969" s="179"/>
      <c r="X969" s="179"/>
      <c r="Y969" s="179"/>
      <c r="Z969" s="179"/>
    </row>
    <row r="970">
      <c r="A970" s="179"/>
      <c r="B970" s="179"/>
      <c r="C970" s="179"/>
      <c r="D970" s="179"/>
      <c r="E970" s="179"/>
      <c r="F970" s="179"/>
      <c r="G970" s="194"/>
      <c r="H970" s="179"/>
      <c r="I970" s="179"/>
      <c r="J970" s="179"/>
      <c r="K970" s="179"/>
      <c r="L970" s="179"/>
      <c r="M970" s="179"/>
      <c r="N970" s="179"/>
      <c r="O970" s="179"/>
      <c r="P970" s="179"/>
      <c r="Q970" s="179"/>
      <c r="R970" s="179"/>
      <c r="S970" s="179"/>
      <c r="T970" s="179"/>
      <c r="U970" s="179"/>
      <c r="V970" s="179"/>
      <c r="W970" s="179"/>
      <c r="X970" s="179"/>
      <c r="Y970" s="179"/>
      <c r="Z970" s="179"/>
    </row>
    <row r="971">
      <c r="A971" s="179"/>
      <c r="B971" s="179"/>
      <c r="C971" s="179"/>
      <c r="D971" s="179"/>
      <c r="E971" s="179"/>
      <c r="F971" s="179"/>
      <c r="G971" s="194"/>
      <c r="H971" s="179"/>
      <c r="I971" s="179"/>
      <c r="J971" s="179"/>
      <c r="K971" s="179"/>
      <c r="L971" s="179"/>
      <c r="M971" s="179"/>
      <c r="N971" s="179"/>
      <c r="O971" s="179"/>
      <c r="P971" s="179"/>
      <c r="Q971" s="179"/>
      <c r="R971" s="179"/>
      <c r="S971" s="179"/>
      <c r="T971" s="179"/>
      <c r="U971" s="179"/>
      <c r="V971" s="179"/>
      <c r="W971" s="179"/>
      <c r="X971" s="179"/>
      <c r="Y971" s="179"/>
      <c r="Z971" s="179"/>
    </row>
    <row r="972">
      <c r="A972" s="179"/>
      <c r="B972" s="179"/>
      <c r="C972" s="179"/>
      <c r="D972" s="179"/>
      <c r="E972" s="179"/>
      <c r="F972" s="179"/>
      <c r="G972" s="194"/>
      <c r="H972" s="179"/>
      <c r="I972" s="179"/>
      <c r="J972" s="179"/>
      <c r="K972" s="179"/>
      <c r="L972" s="179"/>
      <c r="M972" s="179"/>
      <c r="N972" s="179"/>
      <c r="O972" s="179"/>
      <c r="P972" s="179"/>
      <c r="Q972" s="179"/>
      <c r="R972" s="179"/>
      <c r="S972" s="179"/>
      <c r="T972" s="179"/>
      <c r="U972" s="179"/>
      <c r="V972" s="179"/>
      <c r="W972" s="179"/>
      <c r="X972" s="179"/>
      <c r="Y972" s="179"/>
      <c r="Z972" s="179"/>
    </row>
    <row r="973">
      <c r="A973" s="179"/>
      <c r="B973" s="179"/>
      <c r="C973" s="179"/>
      <c r="D973" s="179"/>
      <c r="E973" s="179"/>
      <c r="F973" s="179"/>
      <c r="G973" s="194"/>
      <c r="H973" s="179"/>
      <c r="I973" s="179"/>
      <c r="J973" s="179"/>
      <c r="K973" s="179"/>
      <c r="L973" s="179"/>
      <c r="M973" s="179"/>
      <c r="N973" s="179"/>
      <c r="O973" s="179"/>
      <c r="P973" s="179"/>
      <c r="Q973" s="179"/>
      <c r="R973" s="179"/>
      <c r="S973" s="179"/>
      <c r="T973" s="179"/>
      <c r="U973" s="179"/>
      <c r="V973" s="179"/>
      <c r="W973" s="179"/>
      <c r="X973" s="179"/>
      <c r="Y973" s="179"/>
      <c r="Z973" s="179"/>
    </row>
    <row r="974">
      <c r="A974" s="179"/>
      <c r="B974" s="179"/>
      <c r="C974" s="179"/>
      <c r="D974" s="179"/>
      <c r="E974" s="179"/>
      <c r="F974" s="179"/>
      <c r="G974" s="194"/>
      <c r="H974" s="179"/>
      <c r="I974" s="179"/>
      <c r="J974" s="179"/>
      <c r="K974" s="179"/>
      <c r="L974" s="179"/>
      <c r="M974" s="179"/>
      <c r="N974" s="179"/>
      <c r="O974" s="179"/>
      <c r="P974" s="179"/>
      <c r="Q974" s="179"/>
      <c r="R974" s="179"/>
      <c r="S974" s="179"/>
      <c r="T974" s="179"/>
      <c r="U974" s="179"/>
      <c r="V974" s="179"/>
      <c r="W974" s="179"/>
      <c r="X974" s="179"/>
      <c r="Y974" s="179"/>
      <c r="Z974" s="179"/>
    </row>
    <row r="975">
      <c r="A975" s="179"/>
      <c r="B975" s="179"/>
      <c r="C975" s="179"/>
      <c r="D975" s="179"/>
      <c r="E975" s="179"/>
      <c r="F975" s="179"/>
      <c r="G975" s="194"/>
      <c r="H975" s="179"/>
      <c r="I975" s="179"/>
      <c r="J975" s="179"/>
      <c r="K975" s="179"/>
      <c r="L975" s="179"/>
      <c r="M975" s="179"/>
      <c r="N975" s="179"/>
      <c r="O975" s="179"/>
      <c r="P975" s="179"/>
      <c r="Q975" s="179"/>
      <c r="R975" s="179"/>
      <c r="S975" s="179"/>
      <c r="T975" s="179"/>
      <c r="U975" s="179"/>
      <c r="V975" s="179"/>
      <c r="W975" s="179"/>
      <c r="X975" s="179"/>
      <c r="Y975" s="179"/>
      <c r="Z975" s="179"/>
    </row>
    <row r="976">
      <c r="A976" s="179"/>
      <c r="B976" s="179"/>
      <c r="C976" s="179"/>
      <c r="D976" s="179"/>
      <c r="E976" s="179"/>
      <c r="F976" s="179"/>
      <c r="G976" s="194"/>
      <c r="H976" s="179"/>
      <c r="I976" s="179"/>
      <c r="J976" s="179"/>
      <c r="K976" s="179"/>
      <c r="L976" s="179"/>
      <c r="M976" s="179"/>
      <c r="N976" s="179"/>
      <c r="O976" s="179"/>
      <c r="P976" s="179"/>
      <c r="Q976" s="179"/>
      <c r="R976" s="179"/>
      <c r="S976" s="179"/>
      <c r="T976" s="179"/>
      <c r="U976" s="179"/>
      <c r="V976" s="179"/>
      <c r="W976" s="179"/>
      <c r="X976" s="179"/>
      <c r="Y976" s="179"/>
      <c r="Z976" s="179"/>
    </row>
    <row r="977">
      <c r="A977" s="179"/>
      <c r="B977" s="179"/>
      <c r="C977" s="179"/>
      <c r="D977" s="179"/>
      <c r="E977" s="179"/>
      <c r="F977" s="179"/>
      <c r="G977" s="194"/>
      <c r="H977" s="179"/>
      <c r="I977" s="179"/>
      <c r="J977" s="179"/>
      <c r="K977" s="179"/>
      <c r="L977" s="179"/>
      <c r="M977" s="179"/>
      <c r="N977" s="179"/>
      <c r="O977" s="179"/>
      <c r="P977" s="179"/>
      <c r="Q977" s="179"/>
      <c r="R977" s="179"/>
      <c r="S977" s="179"/>
      <c r="T977" s="179"/>
      <c r="U977" s="179"/>
      <c r="V977" s="179"/>
      <c r="W977" s="179"/>
      <c r="X977" s="179"/>
      <c r="Y977" s="179"/>
      <c r="Z977" s="179"/>
    </row>
    <row r="978">
      <c r="A978" s="179"/>
      <c r="B978" s="179"/>
      <c r="C978" s="179"/>
      <c r="D978" s="179"/>
      <c r="E978" s="179"/>
      <c r="F978" s="179"/>
      <c r="G978" s="194"/>
      <c r="H978" s="179"/>
      <c r="I978" s="179"/>
      <c r="J978" s="179"/>
      <c r="K978" s="179"/>
      <c r="L978" s="179"/>
      <c r="M978" s="179"/>
      <c r="N978" s="179"/>
      <c r="O978" s="179"/>
      <c r="P978" s="179"/>
      <c r="Q978" s="179"/>
      <c r="R978" s="179"/>
      <c r="S978" s="179"/>
      <c r="T978" s="179"/>
      <c r="U978" s="179"/>
      <c r="V978" s="179"/>
      <c r="W978" s="179"/>
      <c r="X978" s="179"/>
      <c r="Y978" s="179"/>
      <c r="Z978" s="179"/>
    </row>
    <row r="979">
      <c r="A979" s="179"/>
      <c r="B979" s="179"/>
      <c r="C979" s="179"/>
      <c r="D979" s="179"/>
      <c r="E979" s="179"/>
      <c r="F979" s="179"/>
      <c r="G979" s="194"/>
      <c r="H979" s="179"/>
      <c r="I979" s="179"/>
      <c r="J979" s="179"/>
      <c r="K979" s="179"/>
      <c r="L979" s="179"/>
      <c r="M979" s="179"/>
      <c r="N979" s="179"/>
      <c r="O979" s="179"/>
      <c r="P979" s="179"/>
      <c r="Q979" s="179"/>
      <c r="R979" s="179"/>
      <c r="S979" s="179"/>
      <c r="T979" s="179"/>
      <c r="U979" s="179"/>
      <c r="V979" s="179"/>
      <c r="W979" s="179"/>
      <c r="X979" s="179"/>
      <c r="Y979" s="179"/>
      <c r="Z979" s="179"/>
    </row>
    <row r="980">
      <c r="A980" s="179"/>
      <c r="B980" s="179"/>
      <c r="C980" s="179"/>
      <c r="D980" s="179"/>
      <c r="E980" s="179"/>
      <c r="F980" s="179"/>
      <c r="G980" s="194"/>
      <c r="H980" s="179"/>
      <c r="I980" s="179"/>
      <c r="J980" s="179"/>
      <c r="K980" s="179"/>
      <c r="L980" s="179"/>
      <c r="M980" s="179"/>
      <c r="N980" s="179"/>
      <c r="O980" s="179"/>
      <c r="P980" s="179"/>
      <c r="Q980" s="179"/>
      <c r="R980" s="179"/>
      <c r="S980" s="179"/>
      <c r="T980" s="179"/>
      <c r="U980" s="179"/>
      <c r="V980" s="179"/>
      <c r="W980" s="179"/>
      <c r="X980" s="179"/>
      <c r="Y980" s="179"/>
      <c r="Z980" s="179"/>
    </row>
    <row r="981">
      <c r="A981" s="179"/>
      <c r="B981" s="179"/>
      <c r="C981" s="179"/>
      <c r="D981" s="179"/>
      <c r="E981" s="179"/>
      <c r="F981" s="179"/>
      <c r="G981" s="194"/>
      <c r="H981" s="179"/>
      <c r="I981" s="179"/>
      <c r="J981" s="179"/>
      <c r="K981" s="179"/>
      <c r="L981" s="179"/>
      <c r="M981" s="179"/>
      <c r="N981" s="179"/>
      <c r="O981" s="179"/>
      <c r="P981" s="179"/>
      <c r="Q981" s="179"/>
      <c r="R981" s="179"/>
      <c r="S981" s="179"/>
      <c r="T981" s="179"/>
      <c r="U981" s="179"/>
      <c r="V981" s="179"/>
      <c r="W981" s="179"/>
      <c r="X981" s="179"/>
      <c r="Y981" s="179"/>
      <c r="Z981" s="179"/>
    </row>
    <row r="982">
      <c r="A982" s="179"/>
      <c r="B982" s="179"/>
      <c r="C982" s="179"/>
      <c r="D982" s="179"/>
      <c r="E982" s="179"/>
      <c r="F982" s="179"/>
      <c r="G982" s="194"/>
      <c r="H982" s="179"/>
      <c r="I982" s="179"/>
      <c r="J982" s="179"/>
      <c r="K982" s="179"/>
      <c r="L982" s="179"/>
      <c r="M982" s="179"/>
      <c r="N982" s="179"/>
      <c r="O982" s="179"/>
      <c r="P982" s="179"/>
      <c r="Q982" s="179"/>
      <c r="R982" s="179"/>
      <c r="S982" s="179"/>
      <c r="T982" s="179"/>
      <c r="U982" s="179"/>
      <c r="V982" s="179"/>
      <c r="W982" s="179"/>
      <c r="X982" s="179"/>
      <c r="Y982" s="179"/>
      <c r="Z982" s="179"/>
    </row>
    <row r="983">
      <c r="A983" s="179"/>
      <c r="B983" s="179"/>
      <c r="C983" s="179"/>
      <c r="D983" s="179"/>
      <c r="E983" s="179"/>
      <c r="F983" s="179"/>
      <c r="G983" s="194"/>
      <c r="H983" s="179"/>
      <c r="I983" s="179"/>
      <c r="J983" s="179"/>
      <c r="K983" s="179"/>
      <c r="L983" s="179"/>
      <c r="M983" s="179"/>
      <c r="N983" s="179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</row>
    <row r="984">
      <c r="A984" s="179"/>
      <c r="B984" s="179"/>
      <c r="C984" s="179"/>
      <c r="D984" s="179"/>
      <c r="E984" s="179"/>
      <c r="F984" s="179"/>
      <c r="G984" s="194"/>
      <c r="H984" s="179"/>
      <c r="I984" s="179"/>
      <c r="J984" s="179"/>
      <c r="K984" s="179"/>
      <c r="L984" s="179"/>
      <c r="M984" s="179"/>
      <c r="N984" s="179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</row>
    <row r="985">
      <c r="A985" s="179"/>
      <c r="B985" s="179"/>
      <c r="C985" s="179"/>
      <c r="D985" s="179"/>
      <c r="E985" s="179"/>
      <c r="F985" s="179"/>
      <c r="G985" s="194"/>
      <c r="H985" s="179"/>
      <c r="I985" s="179"/>
      <c r="J985" s="179"/>
      <c r="K985" s="179"/>
      <c r="L985" s="179"/>
      <c r="M985" s="179"/>
      <c r="N985" s="179"/>
      <c r="O985" s="179"/>
      <c r="P985" s="179"/>
      <c r="Q985" s="179"/>
      <c r="R985" s="179"/>
      <c r="S985" s="179"/>
      <c r="T985" s="179"/>
      <c r="U985" s="179"/>
      <c r="V985" s="179"/>
      <c r="W985" s="179"/>
      <c r="X985" s="179"/>
      <c r="Y985" s="179"/>
      <c r="Z985" s="179"/>
    </row>
    <row r="986">
      <c r="A986" s="179"/>
      <c r="B986" s="179"/>
      <c r="C986" s="179"/>
      <c r="D986" s="179"/>
      <c r="E986" s="179"/>
      <c r="F986" s="179"/>
      <c r="G986" s="194"/>
      <c r="H986" s="179"/>
      <c r="I986" s="179"/>
      <c r="J986" s="179"/>
      <c r="K986" s="179"/>
      <c r="L986" s="179"/>
      <c r="M986" s="179"/>
      <c r="N986" s="179"/>
      <c r="O986" s="179"/>
      <c r="P986" s="179"/>
      <c r="Q986" s="179"/>
      <c r="R986" s="179"/>
      <c r="S986" s="179"/>
      <c r="T986" s="179"/>
      <c r="U986" s="179"/>
      <c r="V986" s="179"/>
      <c r="W986" s="179"/>
      <c r="X986" s="179"/>
      <c r="Y986" s="179"/>
      <c r="Z986" s="179"/>
    </row>
    <row r="987">
      <c r="A987" s="179"/>
      <c r="B987" s="179"/>
      <c r="C987" s="179"/>
      <c r="D987" s="179"/>
      <c r="E987" s="179"/>
      <c r="F987" s="179"/>
      <c r="G987" s="194"/>
      <c r="H987" s="179"/>
      <c r="I987" s="179"/>
      <c r="J987" s="179"/>
      <c r="K987" s="179"/>
      <c r="L987" s="179"/>
      <c r="M987" s="179"/>
      <c r="N987" s="179"/>
      <c r="O987" s="179"/>
      <c r="P987" s="179"/>
      <c r="Q987" s="179"/>
      <c r="R987" s="179"/>
      <c r="S987" s="179"/>
      <c r="T987" s="179"/>
      <c r="U987" s="179"/>
      <c r="V987" s="179"/>
      <c r="W987" s="179"/>
      <c r="X987" s="179"/>
      <c r="Y987" s="179"/>
      <c r="Z987" s="179"/>
    </row>
    <row r="988">
      <c r="A988" s="179"/>
      <c r="B988" s="179"/>
      <c r="C988" s="179"/>
      <c r="D988" s="179"/>
      <c r="E988" s="179"/>
      <c r="F988" s="179"/>
      <c r="G988" s="194"/>
      <c r="H988" s="179"/>
      <c r="I988" s="179"/>
      <c r="J988" s="179"/>
      <c r="K988" s="179"/>
      <c r="L988" s="179"/>
      <c r="M988" s="179"/>
      <c r="N988" s="179"/>
      <c r="O988" s="179"/>
      <c r="P988" s="179"/>
      <c r="Q988" s="179"/>
      <c r="R988" s="179"/>
      <c r="S988" s="179"/>
      <c r="T988" s="179"/>
      <c r="U988" s="179"/>
      <c r="V988" s="179"/>
      <c r="W988" s="179"/>
      <c r="X988" s="179"/>
      <c r="Y988" s="179"/>
      <c r="Z988" s="179"/>
    </row>
    <row r="989">
      <c r="A989" s="179"/>
      <c r="B989" s="179"/>
      <c r="C989" s="179"/>
      <c r="D989" s="179"/>
      <c r="E989" s="179"/>
      <c r="F989" s="179"/>
      <c r="G989" s="194"/>
      <c r="H989" s="179"/>
      <c r="I989" s="179"/>
      <c r="J989" s="179"/>
      <c r="K989" s="179"/>
      <c r="L989" s="179"/>
      <c r="M989" s="179"/>
      <c r="N989" s="179"/>
      <c r="O989" s="179"/>
      <c r="P989" s="179"/>
      <c r="Q989" s="179"/>
      <c r="R989" s="179"/>
      <c r="S989" s="179"/>
      <c r="T989" s="179"/>
      <c r="U989" s="179"/>
      <c r="V989" s="179"/>
      <c r="W989" s="179"/>
      <c r="X989" s="179"/>
      <c r="Y989" s="179"/>
      <c r="Z989" s="179"/>
    </row>
    <row r="990">
      <c r="A990" s="179"/>
      <c r="B990" s="179"/>
      <c r="C990" s="179"/>
      <c r="D990" s="179"/>
      <c r="E990" s="179"/>
      <c r="F990" s="179"/>
      <c r="G990" s="194"/>
      <c r="H990" s="179"/>
      <c r="I990" s="179"/>
      <c r="J990" s="179"/>
      <c r="K990" s="179"/>
      <c r="L990" s="179"/>
      <c r="M990" s="179"/>
      <c r="N990" s="179"/>
      <c r="O990" s="179"/>
      <c r="P990" s="179"/>
      <c r="Q990" s="179"/>
      <c r="R990" s="179"/>
      <c r="S990" s="179"/>
      <c r="T990" s="179"/>
      <c r="U990" s="179"/>
      <c r="V990" s="179"/>
      <c r="W990" s="179"/>
      <c r="X990" s="179"/>
      <c r="Y990" s="179"/>
      <c r="Z990" s="179"/>
    </row>
    <row r="991">
      <c r="A991" s="179"/>
      <c r="B991" s="179"/>
      <c r="C991" s="179"/>
      <c r="D991" s="179"/>
      <c r="E991" s="179"/>
      <c r="F991" s="179"/>
      <c r="G991" s="194"/>
      <c r="H991" s="179"/>
      <c r="I991" s="179"/>
      <c r="J991" s="179"/>
      <c r="K991" s="179"/>
      <c r="L991" s="179"/>
      <c r="M991" s="179"/>
      <c r="N991" s="179"/>
      <c r="O991" s="179"/>
      <c r="P991" s="179"/>
      <c r="Q991" s="179"/>
      <c r="R991" s="179"/>
      <c r="S991" s="179"/>
      <c r="T991" s="179"/>
      <c r="U991" s="179"/>
      <c r="V991" s="179"/>
      <c r="W991" s="179"/>
      <c r="X991" s="179"/>
      <c r="Y991" s="179"/>
      <c r="Z991" s="179"/>
    </row>
    <row r="992">
      <c r="A992" s="179"/>
      <c r="B992" s="179"/>
      <c r="C992" s="179"/>
      <c r="D992" s="179"/>
      <c r="E992" s="179"/>
      <c r="F992" s="179"/>
      <c r="G992" s="194"/>
      <c r="H992" s="179"/>
      <c r="I992" s="179"/>
      <c r="J992" s="179"/>
      <c r="K992" s="179"/>
      <c r="L992" s="179"/>
      <c r="M992" s="179"/>
      <c r="N992" s="179"/>
      <c r="O992" s="179"/>
      <c r="P992" s="179"/>
      <c r="Q992" s="179"/>
      <c r="R992" s="179"/>
      <c r="S992" s="179"/>
      <c r="T992" s="179"/>
      <c r="U992" s="179"/>
      <c r="V992" s="179"/>
      <c r="W992" s="179"/>
      <c r="X992" s="179"/>
      <c r="Y992" s="179"/>
      <c r="Z992" s="179"/>
    </row>
  </sheetData>
  <mergeCells count="2">
    <mergeCell ref="D9:F9"/>
    <mergeCell ref="G9:H9"/>
  </mergeCells>
  <drawing r:id="rId1"/>
</worksheet>
</file>